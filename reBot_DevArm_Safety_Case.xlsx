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Title" sheetId="1" state="visible" r:id="rId1"/>
    <sheet xmlns:r="http://schemas.openxmlformats.org/officeDocument/2006/relationships" name="15_Dashboard" sheetId="2" state="visible" r:id="rId2"/>
    <sheet xmlns:r="http://schemas.openxmlformats.org/officeDocument/2006/relationships" name="02_DocCtrl" sheetId="3" state="visible" r:id="rId3"/>
    <sheet xmlns:r="http://schemas.openxmlformats.org/officeDocument/2006/relationships" name="03_ItemDef" sheetId="4" state="visible" r:id="rId4"/>
    <sheet xmlns:r="http://schemas.openxmlformats.org/officeDocument/2006/relationships" name="04_StdMatrix" sheetId="5" state="visible" r:id="rId5"/>
    <sheet xmlns:r="http://schemas.openxmlformats.org/officeDocument/2006/relationships" name="05_OpEnv" sheetId="6" state="visible" r:id="rId6"/>
    <sheet xmlns:r="http://schemas.openxmlformats.org/officeDocument/2006/relationships" name="06_Hazards" sheetId="7" state="visible" r:id="rId7"/>
    <sheet xmlns:r="http://schemas.openxmlformats.org/officeDocument/2006/relationships" name="07_HARA" sheetId="8" state="visible" r:id="rId8"/>
    <sheet xmlns:r="http://schemas.openxmlformats.org/officeDocument/2006/relationships" name="08_FMEA" sheetId="9" state="visible" r:id="rId9"/>
    <sheet xmlns:r="http://schemas.openxmlformats.org/officeDocument/2006/relationships" name="09_FSC" sheetId="10" state="visible" r:id="rId10"/>
    <sheet xmlns:r="http://schemas.openxmlformats.org/officeDocument/2006/relationships" name="10_GSN" sheetId="11" state="visible" r:id="rId11"/>
    <sheet xmlns:r="http://schemas.openxmlformats.org/officeDocument/2006/relationships" name="11_Evidence" sheetId="12" state="visible" r:id="rId12"/>
    <sheet xmlns:r="http://schemas.openxmlformats.org/officeDocument/2006/relationships" name="12_Gaps" sheetId="13" state="visible" r:id="rId13"/>
    <sheet xmlns:r="http://schemas.openxmlformats.org/officeDocument/2006/relationships" name="13_Assumptions" sheetId="14" state="visible" r:id="rId14"/>
    <sheet xmlns:r="http://schemas.openxmlformats.org/officeDocument/2006/relationships" name="14_References" sheetId="15" state="visible" r:id="rId15"/>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001F2D4D"/>
      <sz val="28"/>
    </font>
    <font>
      <b val="1"/>
      <color rgb="00008B8B"/>
      <sz val="14"/>
    </font>
    <font>
      <i val="1"/>
      <color rgb="00555555"/>
      <sz val="11"/>
    </font>
    <font>
      <name val="Calibri"/>
      <b val="1"/>
      <color rgb="00FFFFFF"/>
      <sz val="18"/>
    </font>
    <font>
      <name val="Calibri"/>
      <b val="1"/>
      <sz val="10"/>
    </font>
    <font>
      <name val="Calibri"/>
      <sz val="10"/>
    </font>
    <font>
      <b val="1"/>
      <color rgb="00FFFFFF"/>
    </font>
    <font>
      <name val="Calibri"/>
      <b val="1"/>
      <color rgb="00FFFFFF"/>
      <sz val="12"/>
    </font>
    <font>
      <name val="Calibri"/>
      <b val="1"/>
      <color rgb="001F2D4D"/>
      <sz val="11"/>
    </font>
    <font>
      <name val="Calibri"/>
      <i val="1"/>
      <color rgb="00555555"/>
      <sz val="9"/>
    </font>
    <font>
      <b val="1"/>
      <color rgb="001F2D4D"/>
      <sz val="14"/>
    </font>
  </fonts>
  <fills count="9">
    <fill>
      <patternFill/>
    </fill>
    <fill>
      <patternFill patternType="gray125"/>
    </fill>
    <fill>
      <patternFill patternType="solid">
        <fgColor rgb="001F2D4D"/>
      </patternFill>
    </fill>
    <fill>
      <patternFill patternType="solid">
        <fgColor rgb="00F4F6F8"/>
      </patternFill>
    </fill>
    <fill>
      <patternFill patternType="solid">
        <fgColor rgb="00C77800"/>
      </patternFill>
    </fill>
    <fill>
      <patternFill patternType="solid">
        <fgColor rgb="00008B8B"/>
      </patternFill>
    </fill>
    <fill>
      <patternFill patternType="solid">
        <fgColor rgb="00D5D8DC"/>
      </patternFill>
    </fill>
    <fill>
      <patternFill patternType="solid">
        <fgColor rgb="002E7D32"/>
      </patternFill>
    </fill>
    <fill>
      <patternFill patternType="solid">
        <fgColor rgb="00B22222"/>
      </patternFill>
    </fill>
  </fills>
  <borders count="2">
    <border>
      <left/>
      <right/>
      <top/>
      <bottom/>
      <diagonal/>
    </border>
    <border>
      <left style="thin">
        <color rgb="00A0A0A0"/>
      </left>
      <right style="thin">
        <color rgb="00A0A0A0"/>
      </right>
      <top style="thin">
        <color rgb="00A0A0A0"/>
      </top>
      <bottom style="thin">
        <color rgb="00A0A0A0"/>
      </bottom>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horizontal="center"/>
    </xf>
    <xf numFmtId="0" fontId="3" fillId="0" borderId="0" applyAlignment="1" pivotButton="0" quotePrefix="0" xfId="0">
      <alignment horizontal="center"/>
    </xf>
    <xf numFmtId="0" fontId="4" fillId="2" borderId="0" applyAlignment="1" pivotButton="0" quotePrefix="0" xfId="0">
      <alignment horizontal="center" vertical="center" wrapText="1"/>
    </xf>
    <xf numFmtId="0" fontId="5" fillId="3" borderId="1" applyAlignment="1" pivotButton="0" quotePrefix="0" xfId="0">
      <alignment horizontal="left" vertical="top" wrapText="1"/>
    </xf>
    <xf numFmtId="0" fontId="6" fillId="0" borderId="1" applyAlignment="1" pivotButton="0" quotePrefix="0" xfId="0">
      <alignment horizontal="left" vertical="top" wrapText="1"/>
    </xf>
    <xf numFmtId="0" fontId="7" fillId="4" borderId="0" applyAlignment="1" pivotButton="0" quotePrefix="0" xfId="0">
      <alignment horizontal="center" vertical="center" wrapText="1"/>
    </xf>
    <xf numFmtId="0" fontId="6" fillId="0" borderId="0" applyAlignment="1" pivotButton="0" quotePrefix="0" xfId="0">
      <alignment horizontal="left" vertical="top" wrapText="1"/>
    </xf>
    <xf numFmtId="0" fontId="7" fillId="5" borderId="1" applyAlignment="1" pivotButton="0" quotePrefix="0" xfId="0">
      <alignment horizontal="center" vertical="center" wrapText="1"/>
    </xf>
    <xf numFmtId="0" fontId="7" fillId="4"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7" borderId="1" applyAlignment="1" pivotButton="0" quotePrefix="0" xfId="0">
      <alignment horizontal="center" vertical="center" wrapText="1"/>
    </xf>
    <xf numFmtId="0" fontId="11" fillId="0" borderId="1" applyAlignment="1" pivotButton="0" quotePrefix="0" xfId="0">
      <alignment horizontal="center" vertical="center" wrapText="1"/>
    </xf>
    <xf numFmtId="0" fontId="9" fillId="0" borderId="0" pivotButton="0" quotePrefix="0" xfId="0"/>
    <xf numFmtId="0" fontId="8" fillId="2"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1" applyAlignment="1" pivotButton="0" quotePrefix="0" xfId="0">
      <alignment horizontal="center" vertical="center" wrapText="1"/>
    </xf>
    <xf numFmtId="0" fontId="8" fillId="5" borderId="0" applyAlignment="1" pivotButton="0" quotePrefix="0" xfId="0">
      <alignment horizontal="center" vertical="center" wrapText="1"/>
    </xf>
    <xf numFmtId="0" fontId="9" fillId="6" borderId="1" applyAlignment="1" pivotButton="0" quotePrefix="0" xfId="0">
      <alignment horizontal="center" vertical="center" wrapText="1"/>
    </xf>
    <xf numFmtId="0" fontId="7" fillId="7" borderId="1" applyAlignment="1" pivotButton="0" quotePrefix="0" xfId="0">
      <alignment horizontal="left" vertical="top" wrapText="1"/>
    </xf>
    <xf numFmtId="0" fontId="7" fillId="4" borderId="1" applyAlignment="1" pivotButton="0" quotePrefix="0" xfId="0">
      <alignment horizontal="left" vertical="top" wrapText="1"/>
    </xf>
    <xf numFmtId="0" fontId="7" fillId="8" borderId="1" applyAlignment="1" pivotButton="0" quotePrefix="0" xfId="0">
      <alignment horizontal="left" vertical="top" wrapText="1"/>
    </xf>
    <xf numFmtId="0" fontId="7" fillId="6" borderId="1" applyAlignment="1" pivotButton="0" quotePrefix="0" xfId="0">
      <alignment horizontal="left" vertical="top" wrapText="1"/>
    </xf>
    <xf numFmtId="0" fontId="10" fillId="0" borderId="0" applyAlignment="1" pivotButton="0" quotePrefix="0" xfId="0">
      <alignment horizontal="left" vertical="top" wrapText="1"/>
    </xf>
    <xf numFmtId="0" fontId="6" fillId="3" borderId="1" applyAlignment="1" pivotButton="0" quotePrefix="0" xfId="0">
      <alignment horizontal="left" vertical="top" wrapText="1"/>
    </xf>
    <xf numFmtId="0" fontId="6" fillId="6" borderId="1" applyAlignment="1" pivotButton="0" quotePrefix="0" xfId="0">
      <alignment horizontal="left" vertical="top" wrapText="1"/>
    </xf>
    <xf numFmtId="0" fontId="6" fillId="7" borderId="1" applyAlignment="1" pivotButton="0" quotePrefix="0" xfId="0">
      <alignment horizontal="left" vertical="top" wrapText="1"/>
    </xf>
    <xf numFmtId="0" fontId="7" fillId="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Compliance status across 30 clauses</a:t>
            </a:r>
          </a:p>
        </rich>
      </tx>
    </title>
    <plotArea>
      <pieChart>
        <varyColors val="1"/>
        <ser>
          <idx val="0"/>
          <order val="0"/>
          <tx>
            <strRef>
              <f>'15_Dashboard'!C9</f>
            </strRef>
          </tx>
          <spPr>
            <a:ln xmlns:a="http://schemas.openxmlformats.org/drawingml/2006/main">
              <a:prstDash val="solid"/>
            </a:ln>
          </spPr>
          <cat>
            <numRef>
              <f>'15_Dashboard'!$B$10:$B$13</f>
            </numRef>
          </cat>
          <val>
            <numRef>
              <f>'15_Dashboard'!$C$10:$C$13</f>
            </numRef>
          </val>
        </ser>
        <dLbls>
          <showPercent val="1"/>
        </dLbls>
        <firstSliceAng val="0"/>
      </pieChart>
    </plotArea>
    <legend>
      <legendPos val="r"/>
    </legend>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Open gaps by severity (28 total)</a:t>
            </a:r>
          </a:p>
        </rich>
      </tx>
    </title>
    <plotArea>
      <barChart>
        <barDir val="bar"/>
        <grouping val="clustered"/>
        <ser>
          <idx val="0"/>
          <order val="0"/>
          <tx>
            <strRef>
              <f>'15_Dashboard'!C21</f>
            </strRef>
          </tx>
          <spPr>
            <a:ln xmlns:a="http://schemas.openxmlformats.org/drawingml/2006/main">
              <a:prstDash val="solid"/>
            </a:ln>
          </spPr>
          <cat>
            <numRef>
              <f>'15_Dashboard'!$B$22:$B$25</f>
            </numRef>
          </cat>
          <val>
            <numRef>
              <f>'15_Dashboard'!$C$22:$C$25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2"/>
  <chart>
    <title>
      <tx>
        <rich>
          <a:bodyPr xmlns:a="http://schemas.openxmlformats.org/drawingml/2006/main"/>
          <a:p xmlns:a="http://schemas.openxmlformats.org/drawingml/2006/main">
            <a:pPr>
              <a:defRPr/>
            </a:pPr>
            <a:r>
              <a:t>Relative risk 1 (Low) to 3 (High)</a:t>
            </a:r>
          </a:p>
        </rich>
      </tx>
    </title>
    <plotArea>
      <barChart>
        <barDir val="col"/>
        <grouping val="clustered"/>
        <ser>
          <idx val="0"/>
          <order val="0"/>
          <tx>
            <strRef>
              <f>'15_Dashboard'!C34</f>
            </strRef>
          </tx>
          <spPr>
            <a:ln xmlns:a="http://schemas.openxmlformats.org/drawingml/2006/main">
              <a:prstDash val="solid"/>
            </a:ln>
          </spPr>
          <cat>
            <numRef>
              <f>'15_Dashboard'!$B$35:$B$38</f>
            </numRef>
          </cat>
          <val>
            <numRef>
              <f>'15_Dashboard'!$C$35:$C$38</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4</col>
      <colOff>0</colOff>
      <row>8</row>
      <rowOff>0</rowOff>
    </from>
    <ext cx="432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20</row>
      <rowOff>0</rowOff>
    </from>
    <ext cx="432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4</col>
      <colOff>0</colOff>
      <row>33</row>
      <rowOff>0</rowOff>
    </from>
    <ext cx="4320000" cy="252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3:C35"/>
  <sheetViews>
    <sheetView showGridLines="0" workbookViewId="0">
      <selection activeCell="A1" sqref="A1"/>
    </sheetView>
  </sheetViews>
  <sheetFormatPr baseColWidth="8" defaultRowHeight="15"/>
  <cols>
    <col width="4" customWidth="1" min="1" max="1"/>
    <col width="30" customWidth="1" min="2" max="2"/>
    <col width="60" customWidth="1" min="3" max="3"/>
    <col width="4" customWidth="1" min="4" max="4"/>
  </cols>
  <sheetData>
    <row r="2" ht="6" customHeight="1"/>
    <row r="3">
      <c r="B3" s="1" t="inlineStr">
        <is>
          <t>reBot-DevArm B601-DM</t>
        </is>
      </c>
    </row>
    <row r="4">
      <c r="B4" s="2" t="inlineStr">
        <is>
          <t>PRELIMINARY SAFETY CASE — CONCEPT PHASE</t>
        </is>
      </c>
    </row>
    <row r="5">
      <c r="B5" s="3" t="inlineStr">
        <is>
          <t>Open-Source 6-DOF Cobot Arm · 4.5 kg · 650 mm reach · 1.5 kg payload · DC 24 V</t>
        </is>
      </c>
    </row>
    <row r="7">
      <c r="B7" s="4" t="inlineStr">
        <is>
          <t>Standards Framework</t>
        </is>
      </c>
    </row>
    <row r="8">
      <c r="B8" s="5" t="inlineStr">
        <is>
          <t>ISO 12100:2010</t>
        </is>
      </c>
      <c r="C8" s="6" t="inlineStr">
        <is>
          <t>Safety of machinery — General principles for design, risk assessment and risk reduction</t>
        </is>
      </c>
    </row>
    <row r="9">
      <c r="B9" s="5" t="inlineStr">
        <is>
          <t>ISO 10218-1:2011</t>
        </is>
      </c>
      <c r="C9" s="6" t="inlineStr">
        <is>
          <t>Robots and robotic devices — Safety requirements for industrial robots — Part 1: robot</t>
        </is>
      </c>
    </row>
    <row r="10">
      <c r="B10" s="5" t="inlineStr">
        <is>
          <t>ISO 10218-2:2011</t>
        </is>
      </c>
      <c r="C10" s="6" t="inlineStr">
        <is>
          <t>Safety requirements — Part 2: robot system and integration</t>
        </is>
      </c>
    </row>
    <row r="11">
      <c r="B11" s="5" t="inlineStr">
        <is>
          <t>ISO/TS 15066:2016</t>
        </is>
      </c>
      <c r="C11" s="6" t="inlineStr">
        <is>
          <t>Robots and robotic devices — Collaborative robots (PFL data, primary for desktop cobot)</t>
        </is>
      </c>
    </row>
    <row r="12">
      <c r="B12" s="5" t="inlineStr">
        <is>
          <t>ISO 13849-1:2023</t>
        </is>
      </c>
      <c r="C12" s="6" t="inlineStr">
        <is>
          <t>Safety-related parts of control systems — Part 1: General principles for design</t>
        </is>
      </c>
    </row>
    <row r="13">
      <c r="B13" s="5" t="inlineStr">
        <is>
          <t>ISO 13849-2:2012</t>
        </is>
      </c>
      <c r="C13" s="6" t="inlineStr">
        <is>
          <t>Safety-related parts of control systems — Part 2: Validation</t>
        </is>
      </c>
    </row>
    <row r="14">
      <c r="B14" s="5" t="inlineStr">
        <is>
          <t>ISO 9001:2015</t>
        </is>
      </c>
      <c r="C14" s="6" t="inlineStr">
        <is>
          <t>Quality management systems — Requirements</t>
        </is>
      </c>
    </row>
    <row r="15">
      <c r="B15" s="5" t="inlineStr">
        <is>
          <t>IEC 60204-1:2018</t>
        </is>
      </c>
      <c r="C15" s="6" t="inlineStr">
        <is>
          <t>Safety of machinery — Electrical equipment of machines</t>
        </is>
      </c>
    </row>
    <row r="16">
      <c r="B16" s="5" t="inlineStr">
        <is>
          <t>IEC 61000-6-2 / -6-3 (ref.)</t>
        </is>
      </c>
      <c r="C16" s="6" t="inlineStr">
        <is>
          <t>EMC immunity / emissions</t>
        </is>
      </c>
    </row>
    <row r="17">
      <c r="B17" s="5" t="inlineStr">
        <is>
          <t>ISO 9283:1998 (ref.)</t>
        </is>
      </c>
      <c r="C17" s="6" t="inlineStr">
        <is>
          <t>Manipulating industrial robots — Performance criteria and related test methods</t>
        </is>
      </c>
    </row>
    <row r="18">
      <c r="B18" s="5" t="inlineStr">
        <is>
          <t>ISO 13854 / 13857 (ref.)</t>
        </is>
      </c>
      <c r="C18" s="6" t="inlineStr">
        <is>
          <t>Safety distances; minimum gaps to avoid crushing of body parts</t>
        </is>
      </c>
    </row>
    <row r="20">
      <c r="B20" s="4" t="inlineStr">
        <is>
          <t>Item Under Assessment</t>
        </is>
      </c>
    </row>
    <row r="21">
      <c r="B21" s="5" t="inlineStr">
        <is>
          <t>Item name</t>
        </is>
      </c>
      <c r="C21" s="6" t="inlineStr">
        <is>
          <t>reBot-DevArm B601-DM (Damiao motor variant)</t>
        </is>
      </c>
    </row>
    <row r="22">
      <c r="B22" s="5" t="inlineStr">
        <is>
          <t>Variant note</t>
        </is>
      </c>
      <c r="C22" s="6" t="inlineStr">
        <is>
          <t>B601-RS (Robstride) is mechanically identical; differences flagged in DFMEA.</t>
        </is>
      </c>
    </row>
    <row r="23">
      <c r="B23" s="5" t="inlineStr">
        <is>
          <t>Source repository</t>
        </is>
      </c>
      <c r="C23" s="6" t="inlineStr">
        <is>
          <t>https://github.com/jherrodthomas/reBot-DevArm (fork of Seeed-Projects/reBot-DevArm)</t>
        </is>
      </c>
    </row>
    <row r="24">
      <c r="B24" s="5" t="inlineStr">
        <is>
          <t>Upstream status</t>
        </is>
      </c>
      <c r="C24" s="6" t="inlineStr">
        <is>
          <t>3,114 stars · 286 forks · CC BY-NC-SA 4.0</t>
        </is>
      </c>
    </row>
    <row r="25">
      <c r="B25" s="5" t="inlineStr">
        <is>
          <t>Hardware licence</t>
        </is>
      </c>
      <c r="C25" s="6" t="inlineStr">
        <is>
          <t>CC BY-NC-SA 4.0 (Creative Commons Attribution-NonCommercial-ShareAlike)</t>
        </is>
      </c>
    </row>
    <row r="26">
      <c r="B26" s="5" t="inlineStr">
        <is>
          <t>Maturity</t>
        </is>
      </c>
      <c r="C26" s="6" t="inlineStr">
        <is>
          <t>Hardware mature (BOM, STEP, performance-test data published). ROS2 + Isaac Sim in progress.</t>
        </is>
      </c>
    </row>
    <row r="27">
      <c r="B27" s="5" t="inlineStr">
        <is>
          <t>Document type</t>
        </is>
      </c>
      <c r="C27" s="6" t="inlineStr">
        <is>
          <t>Preliminary Safety Case (concept phase) + Gap Register</t>
        </is>
      </c>
    </row>
    <row r="28">
      <c r="B28" s="5" t="inlineStr">
        <is>
          <t>Document ID</t>
        </is>
      </c>
      <c r="C28" s="6" t="inlineStr">
        <is>
          <t>REBOT-SC-CP-001</t>
        </is>
      </c>
    </row>
    <row r="29">
      <c r="B29" s="5" t="inlineStr">
        <is>
          <t>Revision</t>
        </is>
      </c>
      <c r="C29" s="6" t="inlineStr">
        <is>
          <t>0.1 (draft)</t>
        </is>
      </c>
    </row>
    <row r="30">
      <c r="B30" s="5" t="inlineStr">
        <is>
          <t>Issue date</t>
        </is>
      </c>
      <c r="C30" s="6" t="inlineStr">
        <is>
          <t>2026-05-04</t>
        </is>
      </c>
    </row>
    <row r="31">
      <c r="B31" s="5" t="inlineStr">
        <is>
          <t>Author</t>
        </is>
      </c>
      <c r="C31" s="6" t="inlineStr">
        <is>
          <t>J. Herrod-Thomas (forker / assessor)</t>
        </is>
      </c>
    </row>
    <row r="32">
      <c r="B32" s="5" t="inlineStr">
        <is>
          <t>Confidentiality</t>
        </is>
      </c>
      <c r="C32" s="6" t="inlineStr">
        <is>
          <t>Public — distributed under CC BY-NC-SA 4.0 (ShareAlike)</t>
        </is>
      </c>
    </row>
    <row r="34">
      <c r="B34" s="7" t="inlineStr">
        <is>
          <t>Important notice — preliminary cobot safety case</t>
        </is>
      </c>
    </row>
    <row r="35" ht="110" customHeight="1">
      <c r="B35" s="8" t="inlineStr">
        <is>
          <t>This document does NOT certify reBot-DevArm as safe for collaborative deployment with humans. The upstream release is mature on hardware (BOM, STEP, performance test data) and software (Python SDK, ROS2 driver, LeRobot integration) but does NOT publish a HARA, FMEA, FMEDA, ISO 13849-2 validation report, or ISO/TS 15066 power-and-force-limiting (PFL) measurement campaign. The argument structure below is a scaffold populated with concept-level evidence; every leaf claim links to the Gap Register (Tab 12) where the missing work product is recorded. Provisional acceptance applies only to OE-1 (lab / desk research, supervised, fixtured). Collaborative operation in classroom (OE-2), industrial cell (OE-3), or public-facing demo (OE-4) requires closure of the high-severity gaps before any safety conclusion can be drawn.</t>
        </is>
      </c>
    </row>
  </sheetData>
  <mergeCells count="7">
    <mergeCell ref="B7:C7"/>
    <mergeCell ref="B3:C3"/>
    <mergeCell ref="B5:C5"/>
    <mergeCell ref="B20:C20"/>
    <mergeCell ref="B34:C34"/>
    <mergeCell ref="B35:C35"/>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G38"/>
  <sheetViews>
    <sheetView showGridLines="0" workbookViewId="0">
      <selection activeCell="A1" sqref="A1"/>
    </sheetView>
  </sheetViews>
  <sheetFormatPr baseColWidth="8" defaultRowHeight="15"/>
  <cols>
    <col width="4" customWidth="1" min="1" max="1"/>
    <col width="22" customWidth="1" min="2" max="2"/>
    <col width="22" customWidth="1" min="3" max="3"/>
    <col width="22" customWidth="1" min="4" max="4"/>
    <col width="22" customWidth="1" min="5" max="5"/>
    <col width="22" customWidth="1" min="6" max="6"/>
    <col width="22" customWidth="1" min="7" max="7"/>
  </cols>
  <sheetData>
    <row r="2">
      <c r="B2" s="4" t="inlineStr">
        <is>
          <t>Safety Case KPI Dashboard</t>
        </is>
      </c>
    </row>
    <row r="4">
      <c r="B4" s="9" t="inlineStr">
        <is>
          <t>Hazards identified</t>
        </is>
      </c>
      <c r="C4" s="9" t="inlineStr">
        <is>
          <t>Safety functions</t>
        </is>
      </c>
      <c r="D4" s="9" t="inlineStr">
        <is>
          <t>Standards covered</t>
        </is>
      </c>
      <c r="E4" s="10" t="inlineStr">
        <is>
          <t>Open gaps</t>
        </is>
      </c>
      <c r="F4" s="11" t="inlineStr">
        <is>
          <t>Very-high gaps</t>
        </is>
      </c>
      <c r="G4" s="12" t="inlineStr">
        <is>
          <t>Provisional accept</t>
        </is>
      </c>
    </row>
    <row r="5" ht="28" customHeight="1">
      <c r="B5" s="13" t="inlineStr">
        <is>
          <t>33</t>
        </is>
      </c>
      <c r="C5" s="13" t="inlineStr">
        <is>
          <t>31</t>
        </is>
      </c>
      <c r="D5" s="13" t="inlineStr">
        <is>
          <t>6 + 4 ref.</t>
        </is>
      </c>
      <c r="E5" s="13" t="inlineStr">
        <is>
          <t>28</t>
        </is>
      </c>
      <c r="F5" s="13" t="inlineStr">
        <is>
          <t>8</t>
        </is>
      </c>
      <c r="G5" s="13" t="inlineStr">
        <is>
          <t>OE-1 only</t>
        </is>
      </c>
    </row>
    <row r="8">
      <c r="B8" s="14" t="inlineStr">
        <is>
          <t>Standards compliance (count of clauses)</t>
        </is>
      </c>
    </row>
    <row r="9">
      <c r="B9" s="15" t="inlineStr"/>
      <c r="C9" s="15" t="inlineStr">
        <is>
          <t>Status</t>
        </is>
      </c>
      <c r="D9" s="15" t="inlineStr">
        <is>
          <t>Count</t>
        </is>
      </c>
    </row>
    <row r="10">
      <c r="B10" s="16" t="inlineStr">
        <is>
          <t>Met (concept)</t>
        </is>
      </c>
      <c r="C10" s="17" t="n">
        <v>4</v>
      </c>
    </row>
    <row r="11">
      <c r="B11" s="16" t="inlineStr">
        <is>
          <t>Partial</t>
        </is>
      </c>
      <c r="C11" s="17" t="n">
        <v>8</v>
      </c>
    </row>
    <row r="12">
      <c r="B12" s="16" t="inlineStr">
        <is>
          <t>Not met</t>
        </is>
      </c>
      <c r="C12" s="17" t="n">
        <v>16</v>
      </c>
    </row>
    <row r="13">
      <c r="B13" s="16" t="inlineStr">
        <is>
          <t>Deferred</t>
        </is>
      </c>
      <c r="C13" s="17" t="n">
        <v>2</v>
      </c>
    </row>
    <row r="20">
      <c r="B20" s="14" t="inlineStr">
        <is>
          <t>Gap severity profile</t>
        </is>
      </c>
    </row>
    <row r="21">
      <c r="B21" s="15" t="inlineStr"/>
      <c r="C21" s="15" t="inlineStr">
        <is>
          <t>Severity</t>
        </is>
      </c>
      <c r="D21" s="15" t="inlineStr">
        <is>
          <t>Count</t>
        </is>
      </c>
    </row>
    <row r="22">
      <c r="B22" s="16" t="inlineStr">
        <is>
          <t>VHigh</t>
        </is>
      </c>
      <c r="C22" s="17" t="n">
        <v>8</v>
      </c>
    </row>
    <row r="23">
      <c r="B23" s="16" t="inlineStr">
        <is>
          <t>High</t>
        </is>
      </c>
      <c r="C23" s="17" t="n">
        <v>10</v>
      </c>
    </row>
    <row r="24">
      <c r="B24" s="16" t="inlineStr">
        <is>
          <t>Med</t>
        </is>
      </c>
      <c r="C24" s="17" t="n">
        <v>9</v>
      </c>
    </row>
    <row r="25">
      <c r="B25" s="16" t="inlineStr">
        <is>
          <t>Low</t>
        </is>
      </c>
      <c r="C25" s="17" t="n">
        <v>1</v>
      </c>
    </row>
    <row r="33">
      <c r="B33" s="14" t="inlineStr">
        <is>
          <t>Risk profile by op envelope</t>
        </is>
      </c>
    </row>
    <row r="34">
      <c r="B34" s="15" t="inlineStr"/>
      <c r="C34" s="15" t="inlineStr">
        <is>
          <t>Envelope</t>
        </is>
      </c>
      <c r="D34" s="15" t="inlineStr">
        <is>
          <t>Risk</t>
        </is>
      </c>
    </row>
    <row r="35">
      <c r="B35" s="16" t="inlineStr">
        <is>
          <t>OE-1 Lab</t>
        </is>
      </c>
      <c r="C35" s="17" t="inlineStr">
        <is>
          <t>1</t>
        </is>
      </c>
    </row>
    <row r="36">
      <c r="B36" s="16" t="inlineStr">
        <is>
          <t>OE-2 Education</t>
        </is>
      </c>
      <c r="C36" s="17" t="inlineStr">
        <is>
          <t>2</t>
        </is>
      </c>
    </row>
    <row r="37">
      <c r="B37" s="16" t="inlineStr">
        <is>
          <t>OE-3 Industrial cobot</t>
        </is>
      </c>
      <c r="C37" s="17" t="inlineStr">
        <is>
          <t>2</t>
        </is>
      </c>
    </row>
    <row r="38">
      <c r="B38" s="16" t="inlineStr">
        <is>
          <t>OE-4 Public-facing</t>
        </is>
      </c>
      <c r="C38" s="17" t="inlineStr">
        <is>
          <t>3</t>
        </is>
      </c>
    </row>
  </sheetData>
  <mergeCells count="1">
    <mergeCell ref="B2:G2"/>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2:G15"/>
  <sheetViews>
    <sheetView showGridLines="0" workbookViewId="0">
      <selection activeCell="A1" sqref="A1"/>
    </sheetView>
  </sheetViews>
  <sheetFormatPr baseColWidth="8" defaultRowHeight="15"/>
  <cols>
    <col width="4" customWidth="1" min="1" max="1"/>
    <col width="14" customWidth="1" min="2" max="2"/>
    <col width="14" customWidth="1" min="3" max="3"/>
    <col width="22" customWidth="1" min="4" max="4"/>
    <col width="60" customWidth="1" min="5" max="5"/>
    <col width="14" customWidth="1" min="6" max="6"/>
  </cols>
  <sheetData>
    <row r="2">
      <c r="B2" s="4" t="inlineStr">
        <is>
          <t>Document Control &amp; Revision History</t>
        </is>
      </c>
    </row>
    <row r="4">
      <c r="B4" s="15" t="inlineStr"/>
      <c r="C4" s="15" t="inlineStr">
        <is>
          <t>Rev</t>
        </is>
      </c>
      <c r="D4" s="15" t="inlineStr">
        <is>
          <t>Date</t>
        </is>
      </c>
      <c r="E4" s="15" t="inlineStr">
        <is>
          <t>Author</t>
        </is>
      </c>
      <c r="F4" s="15" t="inlineStr">
        <is>
          <t>Change description</t>
        </is>
      </c>
      <c r="G4" s="15" t="inlineStr">
        <is>
          <t>Status</t>
        </is>
      </c>
    </row>
    <row r="5">
      <c r="A5" s="6" t="inlineStr"/>
      <c r="B5" s="6" t="inlineStr">
        <is>
          <t>0.1</t>
        </is>
      </c>
      <c r="C5" s="6" t="inlineStr">
        <is>
          <t>2026-05-04</t>
        </is>
      </c>
      <c r="D5" s="6" t="inlineStr">
        <is>
          <t>J. Herrod-Thomas</t>
        </is>
      </c>
      <c r="E5" s="6" t="inlineStr">
        <is>
          <t>Initial issue. Concept-phase scaffold with item definition, hazard catalogue, HARA across 4 op-envelopes, system FMEA, FSC, GSN argument, evidence + gap registers. Tuned for 6-DOF cobot arm.</t>
        </is>
      </c>
      <c r="F5" s="6" t="inlineStr">
        <is>
          <t>Draft</t>
        </is>
      </c>
    </row>
    <row r="9">
      <c r="B9" s="18" t="inlineStr">
        <is>
          <t>Distribution &amp; Approvals (TO BE FILLED)</t>
        </is>
      </c>
    </row>
    <row r="10">
      <c r="B10" s="19" t="inlineStr"/>
      <c r="C10" s="19" t="inlineStr">
        <is>
          <t>Role</t>
        </is>
      </c>
      <c r="D10" s="19" t="inlineStr">
        <is>
          <t>Name</t>
        </is>
      </c>
      <c r="E10" s="19" t="inlineStr">
        <is>
          <t>Function / Org</t>
        </is>
      </c>
      <c r="F10" s="19" t="inlineStr">
        <is>
          <t>Responsibility</t>
        </is>
      </c>
      <c r="G10" s="19" t="inlineStr">
        <is>
          <t>Signature / date</t>
        </is>
      </c>
    </row>
    <row r="11">
      <c r="B11" s="16" t="inlineStr">
        <is>
          <t>Author</t>
        </is>
      </c>
      <c r="C11" s="6" t="inlineStr">
        <is>
          <t>—</t>
        </is>
      </c>
      <c r="D11" s="6" t="inlineStr">
        <is>
          <t>Self / fork maintainer</t>
        </is>
      </c>
      <c r="E11" s="6" t="inlineStr">
        <is>
          <t>Drafted concept-phase safety case</t>
        </is>
      </c>
      <c r="F11" s="6" t="inlineStr"/>
    </row>
    <row r="12">
      <c r="B12" s="16" t="inlineStr">
        <is>
          <t>Independent reviewer</t>
        </is>
      </c>
      <c r="C12" s="6" t="inlineStr">
        <is>
          <t>—</t>
        </is>
      </c>
      <c r="D12" s="6" t="inlineStr">
        <is>
          <t>TBD (independent of author)</t>
        </is>
      </c>
      <c r="E12" s="6" t="inlineStr">
        <is>
          <t>ISO 13849-2 §5 confirmation review</t>
        </is>
      </c>
      <c r="F12" s="6" t="inlineStr"/>
    </row>
    <row r="13">
      <c r="B13" s="16" t="inlineStr">
        <is>
          <t>Project safety officer</t>
        </is>
      </c>
      <c r="C13" s="6" t="inlineStr">
        <is>
          <t>—</t>
        </is>
      </c>
      <c r="D13" s="6" t="inlineStr">
        <is>
          <t>TBD</t>
        </is>
      </c>
      <c r="E13" s="6" t="inlineStr">
        <is>
          <t>ISO 12100 §6 risk-reduction adequacy</t>
        </is>
      </c>
      <c r="F13" s="6" t="inlineStr"/>
    </row>
    <row r="14">
      <c r="B14" s="16" t="inlineStr">
        <is>
          <t>Quality (ISO 9001)</t>
        </is>
      </c>
      <c r="C14" s="6" t="inlineStr">
        <is>
          <t>—</t>
        </is>
      </c>
      <c r="D14" s="6" t="inlineStr">
        <is>
          <t>TBD</t>
        </is>
      </c>
      <c r="E14" s="6" t="inlineStr">
        <is>
          <t>Document control, calibration evidence</t>
        </is>
      </c>
      <c r="F14" s="6" t="inlineStr"/>
    </row>
    <row r="15">
      <c r="B15" s="16" t="inlineStr">
        <is>
          <t>Operational owner</t>
        </is>
      </c>
      <c r="C15" s="6" t="inlineStr">
        <is>
          <t>—</t>
        </is>
      </c>
      <c r="D15" s="6" t="inlineStr">
        <is>
          <t>Deploying organisation</t>
        </is>
      </c>
      <c r="E15" s="6" t="inlineStr">
        <is>
          <t>Accepts residual risk per declared envelope</t>
        </is>
      </c>
      <c r="F15" s="6" t="inlineStr"/>
    </row>
  </sheetData>
  <mergeCells count="2">
    <mergeCell ref="B2:F2"/>
    <mergeCell ref="B9:F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14"/>
  <sheetViews>
    <sheetView showGridLines="0" workbookViewId="0">
      <selection activeCell="A1" sqref="A1"/>
    </sheetView>
  </sheetViews>
  <sheetFormatPr baseColWidth="8" defaultRowHeight="15"/>
  <cols>
    <col width="4" customWidth="1" min="1" max="1"/>
    <col width="28" customWidth="1" min="2" max="2"/>
    <col width="70" customWidth="1" min="3" max="3"/>
  </cols>
  <sheetData>
    <row r="2">
      <c r="B2" s="4" t="inlineStr">
        <is>
          <t>Item Definition (ISO 12100 §5 — Determination of limits of the machinery)</t>
        </is>
      </c>
    </row>
    <row r="4" ht="64" customHeight="1">
      <c r="B4" s="5" t="inlineStr">
        <is>
          <t>Intended purpose</t>
        </is>
      </c>
      <c r="C4" s="6" t="inlineStr">
        <is>
          <t>Open-source desktop 6-DOF cobot arm intended for embodied-AI research, education, and light industrial tele-op + ML pick-and-place. Marketed by Seeed Studio with explicit support for ROS1/2, Isaac Sim, LeRobot, and Pinocchio. Two motor variants (Damiao DM, Robstride RS) sharing the same mechanical envelope.</t>
        </is>
      </c>
    </row>
    <row r="5" ht="96" customHeight="1">
      <c r="B5" s="5" t="inlineStr">
        <is>
          <t>Use limits</t>
        </is>
      </c>
      <c r="C5" s="6" t="inlineStr">
        <is>
          <t>(a) Lifetime: not specified by upstream. (b) Intended users: developers, educators, robotics researchers. (c) Reasonably foreseeable misuse — under ISO 12100 §5.3 — includes: operation by untrained users, operation with payload &gt; 1.5 kg, operation outside declared workspace, operation with damaged 3D-printed parts, operation without an enclosure when bystanders are within reach, modifying joint torque limits in software, powering with non-rated PSU, mating with non-OEM grippers without re-validation.</t>
        </is>
      </c>
    </row>
    <row r="6" ht="64" customHeight="1">
      <c r="B6" s="5" t="inlineStr">
        <is>
          <t>Space limits</t>
        </is>
      </c>
      <c r="C6" s="6" t="inlineStr">
        <is>
          <t>Workspace: hemispherical envelope of radius 650 mm centred on arm base (max reach). Height: ~720 mm with arm fully extended vertical. Footprint: ~150 × 150 mm base. Tool centre point (TCP) reach 650 mm with 1.5 kg payload. Kinetic energy at full speed × 1.5 kg payload at TCP is the relevant ISO/TS 15066 figure and is NOT measured in the published docs.</t>
        </is>
      </c>
    </row>
    <row r="7" ht="48" customHeight="1">
      <c r="B7" s="5" t="inlineStr">
        <is>
          <t>Time limits</t>
        </is>
      </c>
      <c r="C7" s="6" t="inlineStr">
        <is>
          <t>Continuous-duty design (no battery — DC 24 V from external PSU). Service life and maintenance interval: unspecified by upstream. Performance-testing data is published but not in MTBF / MTTFD form.</t>
        </is>
      </c>
    </row>
    <row r="8" ht="48" customHeight="1">
      <c r="B8" s="5" t="inlineStr">
        <is>
          <t>Environmental limits</t>
        </is>
      </c>
      <c r="C8" s="6" t="inlineStr">
        <is>
          <t>NOT specified by upstream. Reasonable engineering assumptions for the safety case: indoor only, +10 °C to +35 °C, &lt; 80 %RH non-condensing, level workbench, dry surfaces, no IP rating claimed (assume IPX0). EMC: not declared but expected industrial-grade (EN 61000-6-2 environment).</t>
        </is>
      </c>
    </row>
    <row r="9" ht="64" customHeight="1">
      <c r="B9" s="5" t="inlineStr">
        <is>
          <t>Boundaries (physical)</t>
        </is>
      </c>
      <c r="C9" s="6" t="inlineStr">
        <is>
          <t>Mechanical envelope per upstream STEP files in hardware/reBot_B601_DM/. Sheet metal links L1..L6, 3D-printed covers and finger, motor housings (Damiao DM4310 / DM4340 / DM6248 family or Robstride equivalents). Electrical envelope: 24 V DC bus, motor CAN/RS485 daisy-chain, optional Jetson / RPi 4-5 / XIAO ESP32 host.</t>
        </is>
      </c>
    </row>
    <row r="10" ht="64" customHeight="1">
      <c r="B10" s="5" t="inlineStr">
        <is>
          <t>Boundaries (information)</t>
        </is>
      </c>
      <c r="C10" s="6" t="inlineStr">
        <is>
          <t>Inputs: position / velocity / torque commands via Python SDK or ROS2 topics; tele-op via Star Arm 102-LD leader arm or LeRobot dataset playback; optional wrist camera (Intel D435i / D405 / Gemini 305 / Gemini 2 / UVC). Outputs: joint state telemetry (position, velocity, torque), camera stream, gripper aperture state. External: 24 V PSU, host PC running ROS / SDK.</t>
        </is>
      </c>
    </row>
    <row r="11" ht="128" customHeight="1">
      <c r="B11" s="5" t="inlineStr">
        <is>
          <t>Functions of the item</t>
        </is>
      </c>
      <c r="C11" s="6" t="inlineStr">
        <is>
          <t>F-01 Free-drive / Teach: gravity-compensated joint freedom for demonstration and dataset collection. F-02 Position-control: move TCP to commanded Cartesian or joint pose. F-03 Velocity / torque control: low-level joint commands via Python SDK or ROS2 controller. F-04 Pick-and-place: integrate gripper open/close with motion plan. F-05 Sense: stream wrist camera, joint encoder, motor temperature. F-06 Tele-op: accept commands from a leader arm or remote operator. F-07 LeRobot policy execution: run learned imitation / RL policies on real hardware. F-08 E-Stop: remove motor enable on user trigger or fault. F-09 Safe state: gravity-compensated hold or controlled descent on fault.</t>
        </is>
      </c>
    </row>
    <row r="12" ht="80" customHeight="1">
      <c r="B12" s="5" t="inlineStr">
        <is>
          <t>Operating modes (declared / proposed)</t>
        </is>
      </c>
      <c r="C12" s="6" t="inlineStr">
        <is>
          <t>M-01 OFF — motors unpowered. M-02 IDLE — motors enabled with brake / position hold; no commands accepted. M-03 TEACH — gravity-compensation, free-drive for demonstration. M-04 RUN — accepts position / velocity / torque commands subject to joint limits and PFL caps. M-05 ESTOP — motors disabled, gripper holds last state passively. Transitions are gated by an authorised-session check and a watchdog on commands.</t>
        </is>
      </c>
    </row>
    <row r="13" ht="96" customHeight="1">
      <c r="B13" s="5" t="inlineStr">
        <is>
          <t>Allocations (this assessment)</t>
        </is>
      </c>
      <c r="C13" s="6" t="inlineStr">
        <is>
          <t>Mechanical: 6 joint links (sheet metal + 3D-printed cover) + gripper + base. Electrical: 24 V DC PSU, motor CAN/RS485 bus, Jetson / RPi host (optional), XIAO ESP32 (optional E-Stop), wrist camera (optional). Software: Python SDK (motorbridge), ROS2 driver + MoveIt2, Pinocchio kinematics, LeRobot policy runtime, Isaac Sim model. Safety: hardware E-Stop input (architecture undocumented in upstream), software watchdog, gravity-compensation fall-back, joint torque/velocity limits.</t>
        </is>
      </c>
    </row>
    <row r="14" ht="144" customHeight="1">
      <c r="B14" s="5" t="inlineStr">
        <is>
          <t>Assumptions explicitly relied upon</t>
        </is>
      </c>
      <c r="C14" s="6" t="inlineStr">
        <is>
          <t>A-01 Operator is trained and within reach of an emergency-stop at all times in M-04 RUN. A-02 PSU is a 24 V regulated supply rated for full bus current with overcurrent protection. A-03 Mechanical structure is genuine sheet-metal and certified PLA / ABS / PETG 3D-printed parts; no cost-cutting substitutions on load-bearing brackets. A-04 Motor harness is built per upstream wiring guide with correct termination. A-05 Operating surface is level, dry, and clamped to a workbench (mass 4.5 kg + dynamic forces require fixturing — bare placement on a desk is misuse). A-06 No bystanders within the 650 mm reach envelope while M-04 RUN. A-07 Robot is NOT a medical device and is NOT used for patient care or restraint. A-08 Wrist camera (when fitted) does not capture or transmit personal data outside the local network without explicit operator action.</t>
        </is>
      </c>
    </row>
  </sheetData>
  <mergeCells count="1">
    <mergeCell ref="B2:C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G34"/>
  <sheetViews>
    <sheetView showGridLines="0" workbookViewId="0">
      <selection activeCell="A1" sqref="A1"/>
    </sheetView>
  </sheetViews>
  <sheetFormatPr baseColWidth="8" defaultRowHeight="15"/>
  <cols>
    <col width="4" customWidth="1" min="1" max="1"/>
    <col width="14" customWidth="1" min="2" max="2"/>
    <col width="24" customWidth="1" min="3" max="3"/>
    <col width="36" customWidth="1" min="4" max="4"/>
    <col width="14" customWidth="1" min="5" max="5"/>
    <col width="36" customWidth="1" min="6" max="6"/>
  </cols>
  <sheetData>
    <row r="2">
      <c r="B2" s="4" t="inlineStr">
        <is>
          <t>Standards Compliance Matrix</t>
        </is>
      </c>
    </row>
    <row r="4">
      <c r="B4" s="15" t="inlineStr"/>
      <c r="C4" s="15" t="inlineStr">
        <is>
          <t>Standard / Clause</t>
        </is>
      </c>
      <c r="D4" s="15" t="inlineStr">
        <is>
          <t>Requirement (paraphrased)</t>
        </is>
      </c>
      <c r="E4" s="15" t="inlineStr">
        <is>
          <t>How this item addresses it</t>
        </is>
      </c>
      <c r="F4" s="15" t="inlineStr">
        <is>
          <t>Status</t>
        </is>
      </c>
      <c r="G4" s="15" t="inlineStr">
        <is>
          <t>Evidence ID / Gap ID</t>
        </is>
      </c>
    </row>
    <row r="5">
      <c r="B5" s="6" t="inlineStr">
        <is>
          <t>ISO 12100 §5</t>
        </is>
      </c>
      <c r="C5" s="6" t="inlineStr">
        <is>
          <t>Determination of limits of machinery</t>
        </is>
      </c>
      <c r="D5" s="6" t="inlineStr">
        <is>
          <t>Documented in tab 03_ItemDef across 11 sections.</t>
        </is>
      </c>
      <c r="E5" s="20" t="inlineStr">
        <is>
          <t>Met (concept)</t>
        </is>
      </c>
      <c r="F5" s="6" t="inlineStr">
        <is>
          <t>EV-IDEF-01</t>
        </is>
      </c>
    </row>
    <row r="6">
      <c r="B6" s="6" t="inlineStr">
        <is>
          <t>ISO 12100 §6.2</t>
        </is>
      </c>
      <c r="C6" s="6" t="inlineStr">
        <is>
          <t>Hazard identification</t>
        </is>
      </c>
      <c r="D6" s="6" t="inlineStr">
        <is>
          <t>Tab 06_Hazards combines ISO 12100 Annex B + ISO 10218-1 §5.10 hazards.</t>
        </is>
      </c>
      <c r="E6" s="20" t="inlineStr">
        <is>
          <t>Met (concept)</t>
        </is>
      </c>
      <c r="F6" s="6" t="inlineStr">
        <is>
          <t>EV-HZ-01</t>
        </is>
      </c>
    </row>
    <row r="7">
      <c r="B7" s="6" t="inlineStr">
        <is>
          <t>ISO 12100 §6.3</t>
        </is>
      </c>
      <c r="C7" s="6" t="inlineStr">
        <is>
          <t>Risk estimation</t>
        </is>
      </c>
      <c r="D7" s="6" t="inlineStr">
        <is>
          <t>Tab 07_HARA scores each hazard with S × F × P risk graph.</t>
        </is>
      </c>
      <c r="E7" s="20" t="inlineStr">
        <is>
          <t>Met (concept)</t>
        </is>
      </c>
      <c r="F7" s="6" t="inlineStr">
        <is>
          <t>EV-HARA-01</t>
        </is>
      </c>
    </row>
    <row r="8">
      <c r="B8" s="6" t="inlineStr">
        <is>
          <t>ISO 12100 §6.4</t>
        </is>
      </c>
      <c r="C8" s="6" t="inlineStr">
        <is>
          <t>Risk evaluation &amp; adequacy of risk reduction</t>
        </is>
      </c>
      <c r="D8" s="6" t="inlineStr">
        <is>
          <t>Tab 09_FSC defines safety functions; PFL evidence missing.</t>
        </is>
      </c>
      <c r="E8" s="21" t="inlineStr">
        <is>
          <t>Partial</t>
        </is>
      </c>
      <c r="F8" s="6" t="inlineStr">
        <is>
          <t>GAP-12100-01</t>
        </is>
      </c>
    </row>
    <row r="9">
      <c r="B9" s="6" t="inlineStr">
        <is>
          <t>ISO 12100 §6.5</t>
        </is>
      </c>
      <c r="C9" s="6" t="inlineStr">
        <is>
          <t>Three-step iterative risk reduction</t>
        </is>
      </c>
      <c r="D9" s="6" t="inlineStr">
        <is>
          <t>Strategy documented per hazard; physical safeguards mostly inherent design.</t>
        </is>
      </c>
      <c r="E9" s="21" t="inlineStr">
        <is>
          <t>Partial</t>
        </is>
      </c>
      <c r="F9" s="6" t="inlineStr">
        <is>
          <t>GAP-12100-02</t>
        </is>
      </c>
    </row>
    <row r="10">
      <c r="B10" s="6" t="inlineStr">
        <is>
          <t>ISO 10218-1 §5.4</t>
        </is>
      </c>
      <c r="C10" s="6" t="inlineStr">
        <is>
          <t>Performance requirement of safety control system</t>
        </is>
      </c>
      <c r="D10" s="6" t="inlineStr">
        <is>
          <t>Required PLd / Cat 3 not demonstrated; no validation report.</t>
        </is>
      </c>
      <c r="E10" s="22" t="inlineStr">
        <is>
          <t>Not met</t>
        </is>
      </c>
      <c r="F10" s="6" t="inlineStr">
        <is>
          <t>GAP-10218-01</t>
        </is>
      </c>
    </row>
    <row r="11">
      <c r="B11" s="6" t="inlineStr">
        <is>
          <t>ISO 10218-1 §5.5.3</t>
        </is>
      </c>
      <c r="C11" s="6" t="inlineStr">
        <is>
          <t>Protective stop function (Cat 0/1)</t>
        </is>
      </c>
      <c r="D11" s="6" t="inlineStr">
        <is>
          <t>E-Stop hardware path NOT documented in upstream — placeholder only.</t>
        </is>
      </c>
      <c r="E11" s="22" t="inlineStr">
        <is>
          <t>Not met</t>
        </is>
      </c>
      <c r="F11" s="6" t="inlineStr">
        <is>
          <t>GAP-10218-02</t>
        </is>
      </c>
    </row>
    <row r="12">
      <c r="B12" s="6" t="inlineStr">
        <is>
          <t>ISO 10218-1 §5.10</t>
        </is>
      </c>
      <c r="C12" s="6" t="inlineStr">
        <is>
          <t>Singularity handling, joint speed limits</t>
        </is>
      </c>
      <c r="D12" s="6" t="inlineStr">
        <is>
          <t>Pinocchio kinematics handle FK/IK; speed limits configurable but not declared.</t>
        </is>
      </c>
      <c r="E12" s="21" t="inlineStr">
        <is>
          <t>Partial</t>
        </is>
      </c>
      <c r="F12" s="6" t="inlineStr">
        <is>
          <t>GAP-10218-03</t>
        </is>
      </c>
    </row>
    <row r="13">
      <c r="B13" s="6" t="inlineStr">
        <is>
          <t>ISO 10218-1 §5.12</t>
        </is>
      </c>
      <c r="C13" s="6" t="inlineStr">
        <is>
          <t>Operational modes</t>
        </is>
      </c>
      <c r="D13" s="6" t="inlineStr">
        <is>
          <t>Modes M-01..M-05 proposed in tab 03; not implemented in upstream FW.</t>
        </is>
      </c>
      <c r="E13" s="21" t="inlineStr">
        <is>
          <t>Partial</t>
        </is>
      </c>
      <c r="F13" s="6" t="inlineStr">
        <is>
          <t>GAP-10218-04</t>
        </is>
      </c>
    </row>
    <row r="14">
      <c r="B14" s="6" t="inlineStr">
        <is>
          <t>ISO 10218-2 §5</t>
        </is>
      </c>
      <c r="C14" s="6" t="inlineStr">
        <is>
          <t>Robot system &amp; integration</t>
        </is>
      </c>
      <c r="D14" s="6" t="inlineStr">
        <is>
          <t>Out of scope — integrator responsibility; flagged in deployment notes.</t>
        </is>
      </c>
      <c r="E14" s="23" t="inlineStr">
        <is>
          <t>Deferred</t>
        </is>
      </c>
      <c r="F14" s="6" t="inlineStr">
        <is>
          <t>ASS-A-06</t>
        </is>
      </c>
    </row>
    <row r="15">
      <c r="B15" s="6" t="inlineStr">
        <is>
          <t>ISO 10218-2 §5.10</t>
        </is>
      </c>
      <c r="C15" s="6" t="inlineStr">
        <is>
          <t>Means of integration of safeguards</t>
        </is>
      </c>
      <c r="D15" s="6" t="inlineStr">
        <is>
          <t>No physical guards / fences specified; deployment-dependent.</t>
        </is>
      </c>
      <c r="E15" s="23" t="inlineStr">
        <is>
          <t>Deferred</t>
        </is>
      </c>
      <c r="F15" s="6" t="inlineStr">
        <is>
          <t>ASS-A-06</t>
        </is>
      </c>
    </row>
    <row r="16">
      <c r="B16" s="6" t="inlineStr">
        <is>
          <t>ISO/TS 15066 §5</t>
        </is>
      </c>
      <c r="C16" s="6" t="inlineStr">
        <is>
          <t>Collaborative robot — quasi-static &amp; transient contact limits</t>
        </is>
      </c>
      <c r="D16" s="6" t="inlineStr">
        <is>
          <t>NO PFL measurement campaign published — critical gap for cobot use.</t>
        </is>
      </c>
      <c r="E16" s="22" t="inlineStr">
        <is>
          <t>Not met</t>
        </is>
      </c>
      <c r="F16" s="6" t="inlineStr">
        <is>
          <t>GAP-15066-01</t>
        </is>
      </c>
    </row>
    <row r="17">
      <c r="B17" s="6" t="inlineStr">
        <is>
          <t>ISO/TS 15066 Anx A</t>
        </is>
      </c>
      <c r="C17" s="6" t="inlineStr">
        <is>
          <t>Body-region pressure / force thresholds</t>
        </is>
      </c>
      <c r="D17" s="6" t="inlineStr">
        <is>
          <t>Joint torque/velocity limits configurable in SDK but not bound to body regions.</t>
        </is>
      </c>
      <c r="E17" s="22" t="inlineStr">
        <is>
          <t>Not met</t>
        </is>
      </c>
      <c r="F17" s="6" t="inlineStr">
        <is>
          <t>GAP-15066-02</t>
        </is>
      </c>
    </row>
    <row r="18">
      <c r="B18" s="6" t="inlineStr">
        <is>
          <t>ISO 13849-1 §4.5</t>
        </is>
      </c>
      <c r="C18" s="6" t="inlineStr">
        <is>
          <t>PLr determination via risk graph</t>
        </is>
      </c>
      <c r="D18" s="6" t="inlineStr">
        <is>
          <t>Performed in tab 07_HARA per safety function.</t>
        </is>
      </c>
      <c r="E18" s="20" t="inlineStr">
        <is>
          <t>Met (concept)</t>
        </is>
      </c>
      <c r="F18" s="6" t="inlineStr">
        <is>
          <t>EV-PLR-01</t>
        </is>
      </c>
    </row>
    <row r="19">
      <c r="B19" s="6" t="inlineStr">
        <is>
          <t>ISO 13849-1 §6</t>
        </is>
      </c>
      <c r="C19" s="6" t="inlineStr">
        <is>
          <t>Categories B/1/2/3/4 — required architecture</t>
        </is>
      </c>
      <c r="D19" s="6" t="inlineStr">
        <is>
          <t>Targets allocated in tab 09_FSC; implementation evidence missing.</t>
        </is>
      </c>
      <c r="E19" s="21" t="inlineStr">
        <is>
          <t>Partial</t>
        </is>
      </c>
      <c r="F19" s="6" t="inlineStr">
        <is>
          <t>GAP-13849-01</t>
        </is>
      </c>
    </row>
    <row r="20">
      <c r="B20" s="6" t="inlineStr">
        <is>
          <t>ISO 13849-1 §7</t>
        </is>
      </c>
      <c r="C20" s="6" t="inlineStr">
        <is>
          <t>PL evaluation (MTTFD, DC, CCF)</t>
        </is>
      </c>
      <c r="D20" s="6" t="inlineStr">
        <is>
          <t>MTTFD per Damiao / Robstride motor not published; cannot compute.</t>
        </is>
      </c>
      <c r="E20" s="22" t="inlineStr">
        <is>
          <t>Not met</t>
        </is>
      </c>
      <c r="F20" s="6" t="inlineStr">
        <is>
          <t>GAP-13849-02</t>
        </is>
      </c>
    </row>
    <row r="21">
      <c r="B21" s="6" t="inlineStr">
        <is>
          <t>ISO 13849-2</t>
        </is>
      </c>
      <c r="C21" s="6" t="inlineStr">
        <is>
          <t>Validation (analysis + testing)</t>
        </is>
      </c>
      <c r="D21" s="6" t="inlineStr">
        <is>
          <t>No test report exists for any safety function.</t>
        </is>
      </c>
      <c r="E21" s="22" t="inlineStr">
        <is>
          <t>Not met</t>
        </is>
      </c>
      <c r="F21" s="6" t="inlineStr">
        <is>
          <t>GAP-13849-03</t>
        </is>
      </c>
    </row>
    <row r="22">
      <c r="B22" s="6" t="inlineStr">
        <is>
          <t>ISO 9001 §7.5</t>
        </is>
      </c>
      <c r="C22" s="6" t="inlineStr">
        <is>
          <t>Documented information control</t>
        </is>
      </c>
      <c r="D22" s="6" t="inlineStr">
        <is>
          <t>Repo uses git; revision control acceptable. Test/calibration records absent.</t>
        </is>
      </c>
      <c r="E22" s="21" t="inlineStr">
        <is>
          <t>Partial</t>
        </is>
      </c>
      <c r="F22" s="6" t="inlineStr">
        <is>
          <t>GAP-9001-01</t>
        </is>
      </c>
    </row>
    <row r="23">
      <c r="B23" s="6" t="inlineStr">
        <is>
          <t>ISO 9001 §8.3</t>
        </is>
      </c>
      <c r="C23" s="6" t="inlineStr">
        <is>
          <t>Design &amp; development control</t>
        </is>
      </c>
      <c r="D23" s="6" t="inlineStr">
        <is>
          <t>No design-review records published.</t>
        </is>
      </c>
      <c r="E23" s="22" t="inlineStr">
        <is>
          <t>Not met</t>
        </is>
      </c>
      <c r="F23" s="6" t="inlineStr">
        <is>
          <t>GAP-9001-02</t>
        </is>
      </c>
    </row>
    <row r="24">
      <c r="B24" s="6" t="inlineStr">
        <is>
          <t>ISO 9001 §8.5.1</t>
        </is>
      </c>
      <c r="C24" s="6" t="inlineStr">
        <is>
          <t>Control of production &amp; service provision</t>
        </is>
      </c>
      <c r="D24" s="6" t="inlineStr">
        <is>
          <t>Kit assembly process: only assembly video published.</t>
        </is>
      </c>
      <c r="E24" s="21" t="inlineStr">
        <is>
          <t>Partial</t>
        </is>
      </c>
      <c r="F24" s="6" t="inlineStr">
        <is>
          <t>GAP-9001-03</t>
        </is>
      </c>
    </row>
    <row r="25">
      <c r="B25" s="6" t="inlineStr">
        <is>
          <t>ISO 9001 §8.7</t>
        </is>
      </c>
      <c r="C25" s="6" t="inlineStr">
        <is>
          <t>Control of nonconforming outputs</t>
        </is>
      </c>
      <c r="D25" s="6" t="inlineStr">
        <is>
          <t>No nonconformance procedure published.</t>
        </is>
      </c>
      <c r="E25" s="22" t="inlineStr">
        <is>
          <t>Not met</t>
        </is>
      </c>
      <c r="F25" s="6" t="inlineStr">
        <is>
          <t>GAP-9001-04</t>
        </is>
      </c>
    </row>
    <row r="26">
      <c r="B26" s="6" t="inlineStr">
        <is>
          <t>ISO 9001 §10.2</t>
        </is>
      </c>
      <c r="C26" s="6" t="inlineStr">
        <is>
          <t>Nonconformity &amp; corrective action</t>
        </is>
      </c>
      <c r="D26" s="6" t="inlineStr">
        <is>
          <t>No CAR system.</t>
        </is>
      </c>
      <c r="E26" s="22" t="inlineStr">
        <is>
          <t>Not met</t>
        </is>
      </c>
      <c r="F26" s="6" t="inlineStr">
        <is>
          <t>GAP-9001-05</t>
        </is>
      </c>
    </row>
    <row r="27">
      <c r="B27" s="6" t="inlineStr">
        <is>
          <t>IEC 60204-1 §5.3</t>
        </is>
      </c>
      <c r="C27" s="6" t="inlineStr">
        <is>
          <t>Supply disconnecting device</t>
        </is>
      </c>
      <c r="D27" s="6" t="inlineStr">
        <is>
          <t>24 V PSU — single barrel jack input. No lockable disconnector specified.</t>
        </is>
      </c>
      <c r="E27" s="21" t="inlineStr">
        <is>
          <t>Partial</t>
        </is>
      </c>
      <c r="F27" s="6" t="inlineStr">
        <is>
          <t>GAP-60204-01</t>
        </is>
      </c>
    </row>
    <row r="28">
      <c r="B28" s="6" t="inlineStr">
        <is>
          <t>IEC 60204-1 §9.4</t>
        </is>
      </c>
      <c r="C28" s="6" t="inlineStr">
        <is>
          <t>Safety-related control functions</t>
        </is>
      </c>
      <c r="D28" s="6" t="inlineStr">
        <is>
          <t>Inherits ISO 13849 gaps.</t>
        </is>
      </c>
      <c r="E28" s="21" t="inlineStr">
        <is>
          <t>Partial</t>
        </is>
      </c>
      <c r="F28" s="6" t="inlineStr">
        <is>
          <t>GAP-60204-02</t>
        </is>
      </c>
    </row>
    <row r="29">
      <c r="B29" s="6" t="inlineStr">
        <is>
          <t>IEC 60204-1 §10.7</t>
        </is>
      </c>
      <c r="C29" s="6" t="inlineStr">
        <is>
          <t>Emergency stop devices</t>
        </is>
      </c>
      <c r="D29" s="6" t="inlineStr">
        <is>
          <t>No physical E-Stop topology documented; XIAO ESP32 mentioned but not specified.</t>
        </is>
      </c>
      <c r="E29" s="22" t="inlineStr">
        <is>
          <t>Not met</t>
        </is>
      </c>
      <c r="F29" s="6" t="inlineStr">
        <is>
          <t>GAP-60204-03</t>
        </is>
      </c>
    </row>
    <row r="30">
      <c r="B30" s="6" t="inlineStr">
        <is>
          <t>IEC 61000-6-2 / -3</t>
        </is>
      </c>
      <c r="C30" s="6" t="inlineStr">
        <is>
          <t>EMC immunity / emissions (ref.)</t>
        </is>
      </c>
      <c r="D30" s="6" t="inlineStr">
        <is>
          <t>Not declared by upstream.</t>
        </is>
      </c>
      <c r="E30" s="22" t="inlineStr">
        <is>
          <t>Not met</t>
        </is>
      </c>
      <c r="F30" s="6" t="inlineStr">
        <is>
          <t>GAP-EMC-01</t>
        </is>
      </c>
    </row>
    <row r="31">
      <c r="B31" s="6" t="inlineStr">
        <is>
          <t>ISO 9283</t>
        </is>
      </c>
      <c r="C31" s="6" t="inlineStr">
        <is>
          <t>Robot performance — pose accuracy / repeatability</t>
        </is>
      </c>
      <c r="D31" s="6" t="inlineStr">
        <is>
          <t>Repeatability &lt; 0.2 mm declared; full ISO 9283 test not performed.</t>
        </is>
      </c>
      <c r="E31" s="21" t="inlineStr">
        <is>
          <t>Partial</t>
        </is>
      </c>
      <c r="F31" s="6" t="inlineStr">
        <is>
          <t>GAP-9283-01</t>
        </is>
      </c>
    </row>
    <row r="32">
      <c r="B32" s="6" t="inlineStr">
        <is>
          <t>ISO 13854</t>
        </is>
      </c>
      <c r="C32" s="6" t="inlineStr">
        <is>
          <t>Minimum gaps to avoid crushing of body parts</t>
        </is>
      </c>
      <c r="D32" s="6" t="inlineStr">
        <is>
          <t>Joint pinch-zone gaps not analysed.</t>
        </is>
      </c>
      <c r="E32" s="22" t="inlineStr">
        <is>
          <t>Not met</t>
        </is>
      </c>
      <c r="F32" s="6" t="inlineStr">
        <is>
          <t>GAP-13854-01</t>
        </is>
      </c>
    </row>
    <row r="33">
      <c r="B33" s="6" t="inlineStr">
        <is>
          <t>ISO 13857</t>
        </is>
      </c>
      <c r="C33" s="6" t="inlineStr">
        <is>
          <t>Safety distances to prevent reaching hazard zones</t>
        </is>
      </c>
      <c r="D33" s="6" t="inlineStr">
        <is>
          <t>Reach envelope declared (650 mm) but no separation-distance plan.</t>
        </is>
      </c>
      <c r="E33" s="22" t="inlineStr">
        <is>
          <t>Not met</t>
        </is>
      </c>
      <c r="F33" s="6" t="inlineStr">
        <is>
          <t>GAP-13857-01</t>
        </is>
      </c>
    </row>
    <row r="34">
      <c r="B34" s="6" t="inlineStr">
        <is>
          <t>CC BY-NC-SA 4.0</t>
        </is>
      </c>
      <c r="C34" s="6" t="inlineStr">
        <is>
          <t>Licensing — non-commercial reciprocity</t>
        </is>
      </c>
      <c r="D34" s="6" t="inlineStr">
        <is>
          <t>Derivative work released under same licence; non-commercial only.</t>
        </is>
      </c>
      <c r="E34" s="20" t="inlineStr">
        <is>
          <t>Met</t>
        </is>
      </c>
      <c r="F34" s="6" t="inlineStr">
        <is>
          <t>EV-LIC-01</t>
        </is>
      </c>
    </row>
  </sheetData>
  <mergeCells count="1">
    <mergeCell ref="B2:F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2:G14"/>
  <sheetViews>
    <sheetView showGridLines="0" workbookViewId="0">
      <selection activeCell="A1" sqref="A1"/>
    </sheetView>
  </sheetViews>
  <sheetFormatPr baseColWidth="8" defaultRowHeight="15"/>
  <cols>
    <col width="4" customWidth="1" min="1" max="1"/>
    <col width="18" customWidth="1" min="2" max="2"/>
    <col width="26" customWidth="1" min="3" max="3"/>
    <col width="26" customWidth="1" min="4" max="4"/>
    <col width="26" customWidth="1" min="5" max="5"/>
    <col width="26" customWidth="1" min="6" max="6"/>
  </cols>
  <sheetData>
    <row r="2">
      <c r="B2" s="4" t="inlineStr">
        <is>
          <t>Operating Envelope — four use-case profiles</t>
        </is>
      </c>
    </row>
    <row r="4">
      <c r="B4" s="15" t="inlineStr"/>
      <c r="C4" s="15" t="inlineStr">
        <is>
          <t>Aspect</t>
        </is>
      </c>
      <c r="D4" s="15" t="inlineStr">
        <is>
          <t>OE-1 Lab/desk (supervised)</t>
        </is>
      </c>
      <c r="E4" s="15" t="inlineStr">
        <is>
          <t>OE-2 Education / classroom</t>
        </is>
      </c>
      <c r="F4" s="15" t="inlineStr">
        <is>
          <t>OE-3 Industrial cobot</t>
        </is>
      </c>
      <c r="G4" s="15" t="inlineStr">
        <is>
          <t>OE-4 Public-facing demo</t>
        </is>
      </c>
    </row>
    <row r="5">
      <c r="B5" s="6" t="inlineStr">
        <is>
          <t>Trained operator present?</t>
        </is>
      </c>
      <c r="C5" s="6" t="inlineStr">
        <is>
          <t>YES (researcher/dev)</t>
        </is>
      </c>
      <c r="D5" s="6" t="inlineStr">
        <is>
          <t>Instructor present; students operating</t>
        </is>
      </c>
      <c r="E5" s="6" t="inlineStr">
        <is>
          <t>Trained cell operator</t>
        </is>
      </c>
      <c r="F5" s="6" t="inlineStr">
        <is>
          <t>Demonstrator + bystanders</t>
        </is>
      </c>
    </row>
    <row r="6">
      <c r="B6" s="6" t="inlineStr">
        <is>
          <t>E-Stop in arm's reach?</t>
        </is>
      </c>
      <c r="C6" s="6" t="inlineStr">
        <is>
          <t>YES (bench-mounted)</t>
        </is>
      </c>
      <c r="D6" s="6" t="inlineStr">
        <is>
          <t>YES (instructor-held + bench)</t>
        </is>
      </c>
      <c r="E6" s="6" t="inlineStr">
        <is>
          <t>YES (defined cell w/ guards)</t>
        </is>
      </c>
      <c r="F6" s="6" t="inlineStr">
        <is>
          <t>YES, but bystanders may reach in</t>
        </is>
      </c>
    </row>
    <row r="7">
      <c r="B7" s="6" t="inlineStr">
        <is>
          <t>Bystanders / contact possible?</t>
        </is>
      </c>
      <c r="C7" s="6" t="inlineStr">
        <is>
          <t>NO</t>
        </is>
      </c>
      <c r="D7" s="6" t="inlineStr">
        <is>
          <t>Students within reach during teach</t>
        </is>
      </c>
      <c r="E7" s="6" t="inlineStr">
        <is>
          <t>Personnel during PFL collab tasks</t>
        </is>
      </c>
      <c r="F7" s="6" t="inlineStr">
        <is>
          <t>YES — including children</t>
        </is>
      </c>
    </row>
    <row r="8">
      <c r="B8" s="6" t="inlineStr">
        <is>
          <t>Power source</t>
        </is>
      </c>
      <c r="C8" s="6" t="inlineStr">
        <is>
          <t>Bench 24 V PSU</t>
        </is>
      </c>
      <c r="D8" s="6" t="inlineStr">
        <is>
          <t>Bench 24 V PSU</t>
        </is>
      </c>
      <c r="E8" s="6" t="inlineStr">
        <is>
          <t>Mains-fed cell PSU</t>
        </is>
      </c>
      <c r="F8" s="6" t="inlineStr">
        <is>
          <t>Mains-fed PSU on display</t>
        </is>
      </c>
    </row>
    <row r="9">
      <c r="B9" s="6" t="inlineStr">
        <is>
          <t>Environment</t>
        </is>
      </c>
      <c r="C9" s="6" t="inlineStr">
        <is>
          <t>Lab, +20 °C, level workbench</t>
        </is>
      </c>
      <c r="D9" s="6" t="inlineStr">
        <is>
          <t>Classroom, level desk, supervised</t>
        </is>
      </c>
      <c r="E9" s="6" t="inlineStr">
        <is>
          <t>Industrial cell, defined workspace</t>
        </is>
      </c>
      <c r="F9" s="6" t="inlineStr">
        <is>
          <t>Public area, mixed lighting</t>
        </is>
      </c>
    </row>
    <row r="10">
      <c r="B10" s="6" t="inlineStr">
        <is>
          <t>Speed cap</t>
        </is>
      </c>
      <c r="C10" s="6" t="inlineStr">
        <is>
          <t>Demo speed (50 %)</t>
        </is>
      </c>
      <c r="D10" s="6" t="inlineStr">
        <is>
          <t>Slow / teach speed (25 %)</t>
        </is>
      </c>
      <c r="E10" s="6" t="inlineStr">
        <is>
          <t>ISO/TS 15066 PFL-bounded</t>
        </is>
      </c>
      <c r="F10" s="6" t="inlineStr">
        <is>
          <t>Reduced (≤ 250 mm/s TCP)</t>
        </is>
      </c>
    </row>
    <row r="11">
      <c r="B11" s="6" t="inlineStr">
        <is>
          <t>Workspace fixturing</t>
        </is>
      </c>
      <c r="C11" s="6" t="inlineStr">
        <is>
          <t>Clamped to bench</t>
        </is>
      </c>
      <c r="D11" s="6" t="inlineStr">
        <is>
          <t>Clamped to desk</t>
        </is>
      </c>
      <c r="E11" s="6" t="inlineStr">
        <is>
          <t>Mounted in defined cell</t>
        </is>
      </c>
      <c r="F11" s="6" t="inlineStr">
        <is>
          <t>Plinth-mounted with barrier</t>
        </is>
      </c>
    </row>
    <row r="12">
      <c r="B12" s="6" t="inlineStr">
        <is>
          <t>ISO 10218 framing</t>
        </is>
      </c>
      <c r="C12" s="6" t="inlineStr">
        <is>
          <t>Industrial robot — research</t>
        </is>
      </c>
      <c r="D12" s="6" t="inlineStr">
        <is>
          <t>Industrial robot — controlled</t>
        </is>
      </c>
      <c r="E12" s="6" t="inlineStr">
        <is>
          <t>Cobot — TS 15066 applies</t>
        </is>
      </c>
      <c r="F12" s="6" t="inlineStr">
        <is>
          <t>Cobot — TS 15066 strict</t>
        </is>
      </c>
    </row>
    <row r="13">
      <c r="B13" s="6" t="inlineStr">
        <is>
          <t>Risk profile</t>
        </is>
      </c>
      <c r="C13" s="20" t="inlineStr">
        <is>
          <t>LOW</t>
        </is>
      </c>
      <c r="D13" s="21" t="inlineStr">
        <is>
          <t>MEDIUM</t>
        </is>
      </c>
      <c r="E13" s="21" t="inlineStr">
        <is>
          <t>MEDIUM</t>
        </is>
      </c>
      <c r="F13" s="22" t="inlineStr">
        <is>
          <t>HIGH</t>
        </is>
      </c>
    </row>
    <row r="14">
      <c r="B14" s="6" t="inlineStr">
        <is>
          <t>Allowed (this safety case)</t>
        </is>
      </c>
      <c r="C14" s="6" t="inlineStr">
        <is>
          <t>PROVISIONALLY YES</t>
        </is>
      </c>
      <c r="D14" s="6" t="inlineStr">
        <is>
          <t>NOT YET — 9 gaps to close</t>
        </is>
      </c>
      <c r="E14" s="6" t="inlineStr">
        <is>
          <t>NOT YET — 14 gaps to close</t>
        </is>
      </c>
      <c r="F14" s="6" t="inlineStr">
        <is>
          <t>NOT YET — 17 gaps to close</t>
        </is>
      </c>
    </row>
  </sheetData>
  <mergeCells count="1">
    <mergeCell ref="B2:F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2:G38"/>
  <sheetViews>
    <sheetView showGridLines="0" workbookViewId="0">
      <selection activeCell="A1" sqref="A1"/>
    </sheetView>
  </sheetViews>
  <sheetFormatPr baseColWidth="8" defaultRowHeight="15"/>
  <cols>
    <col width="4" customWidth="1" min="1" max="1"/>
    <col width="8" customWidth="1" min="2" max="2"/>
    <col width="18" customWidth="1" min="3" max="3"/>
    <col width="22" customWidth="1" min="4" max="4"/>
    <col width="50" customWidth="1" min="5" max="5"/>
    <col width="14" customWidth="1" min="6" max="6"/>
  </cols>
  <sheetData>
    <row r="2">
      <c r="B2" s="4" t="inlineStr">
        <is>
          <t>Hazard Catalogue — ISO 12100 Annex B + ISO 10218-1 §5.10 + TS 15066</t>
        </is>
      </c>
    </row>
    <row r="4">
      <c r="B4" s="15" t="inlineStr"/>
      <c r="C4" s="15" t="inlineStr">
        <is>
          <t>ID</t>
        </is>
      </c>
      <c r="D4" s="15" t="inlineStr">
        <is>
          <t>Category</t>
        </is>
      </c>
      <c r="E4" s="15" t="inlineStr">
        <is>
          <t>Hazard origin</t>
        </is>
      </c>
      <c r="F4" s="15" t="inlineStr">
        <is>
          <t>Description</t>
        </is>
      </c>
      <c r="G4" s="15" t="inlineStr">
        <is>
          <t>Standard ref</t>
        </is>
      </c>
    </row>
    <row r="5">
      <c r="B5" s="6" t="inlineStr">
        <is>
          <t>HZ-M01</t>
        </is>
      </c>
      <c r="C5" s="6" t="inlineStr">
        <is>
          <t>Mechanical</t>
        </is>
      </c>
      <c r="D5" s="6" t="inlineStr">
        <is>
          <t>Crushing</t>
        </is>
      </c>
      <c r="E5" s="6" t="inlineStr">
        <is>
          <t>Joint pinch between adjacent links during motion; finger/hand caught</t>
        </is>
      </c>
      <c r="F5" s="6" t="inlineStr">
        <is>
          <t>10218-1 §5.10 / 13854</t>
        </is>
      </c>
    </row>
    <row r="6">
      <c r="B6" s="6" t="inlineStr">
        <is>
          <t>HZ-M02</t>
        </is>
      </c>
      <c r="C6" s="6" t="inlineStr">
        <is>
          <t>Mechanical</t>
        </is>
      </c>
      <c r="D6" s="6" t="inlineStr">
        <is>
          <t>Shearing</t>
        </is>
      </c>
      <c r="E6" s="6" t="inlineStr">
        <is>
          <t>Scissor action between gripper jaws and links</t>
        </is>
      </c>
      <c r="F6" s="6" t="inlineStr">
        <is>
          <t>13854</t>
        </is>
      </c>
    </row>
    <row r="7">
      <c r="B7" s="6" t="inlineStr">
        <is>
          <t>HZ-M03</t>
        </is>
      </c>
      <c r="C7" s="6" t="inlineStr">
        <is>
          <t>Mechanical</t>
        </is>
      </c>
      <c r="D7" s="6" t="inlineStr">
        <is>
          <t>Cutting</t>
        </is>
      </c>
      <c r="E7" s="6" t="inlineStr">
        <is>
          <t>Sharp edges on sheet-metal brackets; loose fastener projectile</t>
        </is>
      </c>
      <c r="F7" s="6" t="inlineStr">
        <is>
          <t>12100 B.1</t>
        </is>
      </c>
    </row>
    <row r="8">
      <c r="B8" s="6" t="inlineStr">
        <is>
          <t>HZ-M04</t>
        </is>
      </c>
      <c r="C8" s="6" t="inlineStr">
        <is>
          <t>Mechanical</t>
        </is>
      </c>
      <c r="D8" s="6" t="inlineStr">
        <is>
          <t>Impact</t>
        </is>
      </c>
      <c r="E8" s="6" t="inlineStr">
        <is>
          <t>Arm sweep strikes operator/bystander head/torso during RUN</t>
        </is>
      </c>
      <c r="F8" s="6" t="inlineStr">
        <is>
          <t>TS 15066 §5</t>
        </is>
      </c>
    </row>
    <row r="9">
      <c r="B9" s="6" t="inlineStr">
        <is>
          <t>HZ-M05</t>
        </is>
      </c>
      <c r="C9" s="6" t="inlineStr">
        <is>
          <t>Mechanical</t>
        </is>
      </c>
      <c r="D9" s="6" t="inlineStr">
        <is>
          <t>Drawing-in</t>
        </is>
      </c>
      <c r="E9" s="6" t="inlineStr">
        <is>
          <t>Hair, jewellery, clothing entanglement at joint axes</t>
        </is>
      </c>
      <c r="F9" s="6" t="inlineStr">
        <is>
          <t>13857</t>
        </is>
      </c>
    </row>
    <row r="10">
      <c r="B10" s="6" t="inlineStr">
        <is>
          <t>HZ-M06</t>
        </is>
      </c>
      <c r="C10" s="6" t="inlineStr">
        <is>
          <t>Mechanical</t>
        </is>
      </c>
      <c r="D10" s="6" t="inlineStr">
        <is>
          <t>Stability — tip</t>
        </is>
      </c>
      <c r="E10" s="6" t="inlineStr">
        <is>
          <t>4.5 kg arm with 1.5 kg payload at 650 mm = ~22 N·m moment; unfixtured base tips</t>
        </is>
      </c>
      <c r="F10" s="6" t="inlineStr">
        <is>
          <t>ASS-A-05</t>
        </is>
      </c>
    </row>
    <row r="11">
      <c r="B11" s="6" t="inlineStr">
        <is>
          <t>HZ-M07</t>
        </is>
      </c>
      <c r="C11" s="6" t="inlineStr">
        <is>
          <t>Mechanical</t>
        </is>
      </c>
      <c r="D11" s="6" t="inlineStr">
        <is>
          <t>Payload drop</t>
        </is>
      </c>
      <c r="E11" s="6" t="inlineStr">
        <is>
          <t>Gripper releases payload during motion or on power loss</t>
        </is>
      </c>
      <c r="F11" s="6" t="inlineStr">
        <is>
          <t>10218-1 §5.6</t>
        </is>
      </c>
    </row>
    <row r="12">
      <c r="B12" s="6" t="inlineStr">
        <is>
          <t>HZ-M08</t>
        </is>
      </c>
      <c r="C12" s="6" t="inlineStr">
        <is>
          <t>Mechanical</t>
        </is>
      </c>
      <c r="D12" s="6" t="inlineStr">
        <is>
          <t>Slip / trip</t>
        </is>
      </c>
      <c r="E12" s="6" t="inlineStr">
        <is>
          <t>PSU cable trip hazard at base</t>
        </is>
      </c>
      <c r="F12" s="6" t="inlineStr">
        <is>
          <t>12100 B.1</t>
        </is>
      </c>
    </row>
    <row r="13">
      <c r="B13" s="6" t="inlineStr">
        <is>
          <t>HZ-E01</t>
        </is>
      </c>
      <c r="C13" s="6" t="inlineStr">
        <is>
          <t>Electrical</t>
        </is>
      </c>
      <c r="D13" s="6" t="inlineStr">
        <is>
          <t>Electric shock</t>
        </is>
      </c>
      <c r="E13" s="6" t="inlineStr">
        <is>
          <t>24 V DC limited risk but poor isolation at barrel-jack input</t>
        </is>
      </c>
      <c r="F13" s="6" t="inlineStr">
        <is>
          <t>60204-1 §6</t>
        </is>
      </c>
    </row>
    <row r="14">
      <c r="B14" s="6" t="inlineStr">
        <is>
          <t>HZ-E02</t>
        </is>
      </c>
      <c r="C14" s="6" t="inlineStr">
        <is>
          <t>Electrical</t>
        </is>
      </c>
      <c r="D14" s="6" t="inlineStr">
        <is>
          <t>Arc / short</t>
        </is>
      </c>
      <c r="E14" s="6" t="inlineStr">
        <is>
          <t>PSU short circuit; motor cable damage</t>
        </is>
      </c>
      <c r="F14" s="6" t="inlineStr">
        <is>
          <t>60204-1 §6</t>
        </is>
      </c>
    </row>
    <row r="15">
      <c r="B15" s="6" t="inlineStr">
        <is>
          <t>HZ-E03</t>
        </is>
      </c>
      <c r="C15" s="6" t="inlineStr">
        <is>
          <t>Electrical</t>
        </is>
      </c>
      <c r="D15" s="6" t="inlineStr">
        <is>
          <t>ESD</t>
        </is>
      </c>
      <c r="E15" s="6" t="inlineStr">
        <is>
          <t>Static damage to motor controllers / Jetson during handling</t>
        </is>
      </c>
      <c r="F15" s="6" t="inlineStr">
        <is>
          <t>60204-1</t>
        </is>
      </c>
    </row>
    <row r="16">
      <c r="B16" s="6" t="inlineStr">
        <is>
          <t>HZ-E04</t>
        </is>
      </c>
      <c r="C16" s="6" t="inlineStr">
        <is>
          <t>Electrical</t>
        </is>
      </c>
      <c r="D16" s="6" t="inlineStr">
        <is>
          <t>EMI / EMC</t>
        </is>
      </c>
      <c r="E16" s="6" t="inlineStr">
        <is>
          <t>RF interference disrupts CAN bus or USB camera link</t>
        </is>
      </c>
      <c r="F16" s="6" t="inlineStr">
        <is>
          <t>60204-1 §4.4.2</t>
        </is>
      </c>
    </row>
    <row r="17">
      <c r="B17" s="6" t="inlineStr">
        <is>
          <t>HZ-T01</t>
        </is>
      </c>
      <c r="C17" s="6" t="inlineStr">
        <is>
          <t>Thermal</t>
        </is>
      </c>
      <c r="D17" s="6" t="inlineStr">
        <is>
          <t>Burn (motor)</t>
        </is>
      </c>
      <c r="E17" s="6" t="inlineStr">
        <is>
          <t>Joint motor stator surface &gt; 60 °C under sustained load (HT scenarios)</t>
        </is>
      </c>
      <c r="F17" s="6" t="inlineStr">
        <is>
          <t>12100 B.2</t>
        </is>
      </c>
    </row>
    <row r="18">
      <c r="B18" s="6" t="inlineStr">
        <is>
          <t>HZ-T02</t>
        </is>
      </c>
      <c r="C18" s="6" t="inlineStr">
        <is>
          <t>Thermal</t>
        </is>
      </c>
      <c r="D18" s="6" t="inlineStr">
        <is>
          <t>Cable overheat</t>
        </is>
      </c>
      <c r="E18" s="6" t="inlineStr">
        <is>
          <t>Motor harness conductor undersized for sustained current</t>
        </is>
      </c>
      <c r="F18" s="6" t="inlineStr">
        <is>
          <t>60204-1 §13</t>
        </is>
      </c>
    </row>
    <row r="19">
      <c r="B19" s="6" t="inlineStr">
        <is>
          <t>HZ-N01</t>
        </is>
      </c>
      <c r="C19" s="6" t="inlineStr">
        <is>
          <t>Noise</t>
        </is>
      </c>
      <c r="D19" s="6" t="inlineStr">
        <is>
          <t>Hearing</t>
        </is>
      </c>
      <c r="E19" s="6" t="inlineStr">
        <is>
          <t>Servo gear noise &gt; 70 dBA in classroom — chronic exposure</t>
        </is>
      </c>
      <c r="F19" s="6" t="inlineStr">
        <is>
          <t>12100 B.3</t>
        </is>
      </c>
    </row>
    <row r="20">
      <c r="B20" s="6" t="inlineStr">
        <is>
          <t>HZ-V01</t>
        </is>
      </c>
      <c r="C20" s="6" t="inlineStr">
        <is>
          <t>Vibration</t>
        </is>
      </c>
      <c r="D20" s="6" t="inlineStr">
        <is>
          <t>Hand-arm</t>
        </is>
      </c>
      <c r="E20" s="6" t="inlineStr">
        <is>
          <t>Hand-on-arm during teach mode — likely low</t>
        </is>
      </c>
      <c r="F20" s="6" t="inlineStr">
        <is>
          <t>12100 B.4</t>
        </is>
      </c>
    </row>
    <row r="21">
      <c r="B21" s="6" t="inlineStr">
        <is>
          <t>HZ-R01</t>
        </is>
      </c>
      <c r="C21" s="6" t="inlineStr">
        <is>
          <t>Radiation</t>
        </is>
      </c>
      <c r="D21" s="6" t="inlineStr">
        <is>
          <t>Optical</t>
        </is>
      </c>
      <c r="E21" s="6" t="inlineStr">
        <is>
          <t>Camera IR illuminator (D435i) — eye exposure if directed</t>
        </is>
      </c>
      <c r="F21" s="6" t="inlineStr">
        <is>
          <t>12100 B.5</t>
        </is>
      </c>
    </row>
    <row r="22">
      <c r="B22" s="6" t="inlineStr">
        <is>
          <t>HZ-X01</t>
        </is>
      </c>
      <c r="C22" s="6" t="inlineStr">
        <is>
          <t>Materials</t>
        </is>
      </c>
      <c r="D22" s="6" t="inlineStr">
        <is>
          <t>3D print fumes</t>
        </is>
      </c>
      <c r="E22" s="6" t="inlineStr">
        <is>
          <t>PLA/ABS dust during repair sanding</t>
        </is>
      </c>
      <c r="F22" s="6" t="inlineStr">
        <is>
          <t>12100 B.6</t>
        </is>
      </c>
    </row>
    <row r="23">
      <c r="B23" s="6" t="inlineStr">
        <is>
          <t>HZ-G01</t>
        </is>
      </c>
      <c r="C23" s="6" t="inlineStr">
        <is>
          <t>Ergonomic</t>
        </is>
      </c>
      <c r="D23" s="6" t="inlineStr">
        <is>
          <t>Lifting</t>
        </is>
      </c>
      <c r="E23" s="6" t="inlineStr">
        <is>
          <t>4.5 kg arm + base manual handling injury</t>
        </is>
      </c>
      <c r="F23" s="6" t="inlineStr">
        <is>
          <t>12100 B.7</t>
        </is>
      </c>
    </row>
    <row r="24">
      <c r="B24" s="6" t="inlineStr">
        <is>
          <t>HZ-G02</t>
        </is>
      </c>
      <c r="C24" s="6" t="inlineStr">
        <is>
          <t>Ergonomic</t>
        </is>
      </c>
      <c r="D24" s="6" t="inlineStr">
        <is>
          <t>Repetitive teach</t>
        </is>
      </c>
      <c r="E24" s="6" t="inlineStr">
        <is>
          <t>Operator wrist strain during long demonstration sessions</t>
        </is>
      </c>
      <c r="F24" s="6" t="inlineStr">
        <is>
          <t>12100 B.7</t>
        </is>
      </c>
    </row>
    <row r="25">
      <c r="B25" s="6" t="inlineStr">
        <is>
          <t>HZ-V02</t>
        </is>
      </c>
      <c r="C25" s="6" t="inlineStr">
        <is>
          <t>Environment</t>
        </is>
      </c>
      <c r="D25" s="6" t="inlineStr">
        <is>
          <t>Operating temp</t>
        </is>
      </c>
      <c r="E25" s="6" t="inlineStr">
        <is>
          <t>Outside +10..+35 °C: motor torque drift, bearing pre-load change</t>
        </is>
      </c>
      <c r="F25" s="6" t="inlineStr">
        <is>
          <t>12100 B.8</t>
        </is>
      </c>
    </row>
    <row r="26">
      <c r="B26" s="6" t="inlineStr">
        <is>
          <t>HZ-V03</t>
        </is>
      </c>
      <c r="C26" s="6" t="inlineStr">
        <is>
          <t>Environment</t>
        </is>
      </c>
      <c r="D26" s="6" t="inlineStr">
        <is>
          <t>Wet</t>
        </is>
      </c>
      <c r="E26" s="6" t="inlineStr">
        <is>
          <t>No IP rating; coolant or beverage spill into joints</t>
        </is>
      </c>
      <c r="F26" s="6" t="inlineStr">
        <is>
          <t>12100 B.8</t>
        </is>
      </c>
    </row>
    <row r="27">
      <c r="B27" s="6" t="inlineStr">
        <is>
          <t>HZ-P01</t>
        </is>
      </c>
      <c r="C27" s="6" t="inlineStr">
        <is>
          <t>Collaborative</t>
        </is>
      </c>
      <c r="D27" s="6" t="inlineStr">
        <is>
          <t>Quasi-static contact (head)</t>
        </is>
      </c>
      <c r="E27" s="6" t="inlineStr">
        <is>
          <t>Persistent contact between TCP and forehead exceeding TS 15066 thresholds</t>
        </is>
      </c>
      <c r="F27" s="6" t="inlineStr">
        <is>
          <t>TS 15066 A.2</t>
        </is>
      </c>
    </row>
    <row r="28">
      <c r="B28" s="6" t="inlineStr">
        <is>
          <t>HZ-P02</t>
        </is>
      </c>
      <c r="C28" s="6" t="inlineStr">
        <is>
          <t>Collaborative</t>
        </is>
      </c>
      <c r="D28" s="6" t="inlineStr">
        <is>
          <t>Transient contact (hand)</t>
        </is>
      </c>
      <c r="E28" s="6" t="inlineStr">
        <is>
          <t>Impact on hand exceeding 280 N transient threshold</t>
        </is>
      </c>
      <c r="F28" s="6" t="inlineStr">
        <is>
          <t>TS 15066 A.2</t>
        </is>
      </c>
    </row>
    <row r="29">
      <c r="B29" s="6" t="inlineStr">
        <is>
          <t>HZ-P03</t>
        </is>
      </c>
      <c r="C29" s="6" t="inlineStr">
        <is>
          <t>Collaborative</t>
        </is>
      </c>
      <c r="D29" s="6" t="inlineStr">
        <is>
          <t>Pinch (finger)</t>
        </is>
      </c>
      <c r="E29" s="6" t="inlineStr">
        <is>
          <t>Joint motion traps finger between link and external surface</t>
        </is>
      </c>
      <c r="F29" s="6" t="inlineStr">
        <is>
          <t>TS 15066 / 13854</t>
        </is>
      </c>
    </row>
    <row r="30">
      <c r="B30" s="6" t="inlineStr">
        <is>
          <t>HZ-P04</t>
        </is>
      </c>
      <c r="C30" s="6" t="inlineStr">
        <is>
          <t>Collaborative</t>
        </is>
      </c>
      <c r="D30" s="6" t="inlineStr">
        <is>
          <t>Restart after E-Stop</t>
        </is>
      </c>
      <c r="E30" s="6" t="inlineStr">
        <is>
          <t>Auto-restart whilst operator inside reach envelope</t>
        </is>
      </c>
      <c r="F30" s="6" t="inlineStr">
        <is>
          <t>10218-1 §5.5.5</t>
        </is>
      </c>
    </row>
    <row r="31">
      <c r="B31" s="6" t="inlineStr">
        <is>
          <t>HZ-C01</t>
        </is>
      </c>
      <c r="C31" s="6" t="inlineStr">
        <is>
          <t>Control / cyber</t>
        </is>
      </c>
      <c r="D31" s="6" t="inlineStr">
        <is>
          <t>Loss of comm</t>
        </is>
      </c>
      <c r="E31" s="6" t="inlineStr">
        <is>
          <t>ROS topic stall in RUN — joint last-cmd hold (NOT safe)</t>
        </is>
      </c>
      <c r="F31" s="6" t="inlineStr">
        <is>
          <t>13849-1 §6</t>
        </is>
      </c>
    </row>
    <row r="32">
      <c r="B32" s="6" t="inlineStr">
        <is>
          <t>HZ-C02</t>
        </is>
      </c>
      <c r="C32" s="6" t="inlineStr">
        <is>
          <t>Control / cyber</t>
        </is>
      </c>
      <c r="D32" s="6" t="inlineStr">
        <is>
          <t>Unauth cmd</t>
        </is>
      </c>
      <c r="E32" s="6" t="inlineStr">
        <is>
          <t>Network-exposed ROS / Python SDK without auth</t>
        </is>
      </c>
      <c r="F32" s="6" t="inlineStr">
        <is>
          <t>10218-1 §5.4</t>
        </is>
      </c>
    </row>
    <row r="33">
      <c r="B33" s="6" t="inlineStr">
        <is>
          <t>HZ-C03</t>
        </is>
      </c>
      <c r="C33" s="6" t="inlineStr">
        <is>
          <t>Control / cyber</t>
        </is>
      </c>
      <c r="D33" s="6" t="inlineStr">
        <is>
          <t>Sensor failure</t>
        </is>
      </c>
      <c r="E33" s="6" t="inlineStr">
        <is>
          <t>Encoder fault — pose drift; balance unaffected (no IMU) but trajectory diverges</t>
        </is>
      </c>
      <c r="F33" s="6" t="inlineStr">
        <is>
          <t>13849-1</t>
        </is>
      </c>
    </row>
    <row r="34">
      <c r="B34" s="6" t="inlineStr">
        <is>
          <t>HZ-C04</t>
        </is>
      </c>
      <c r="C34" s="6" t="inlineStr">
        <is>
          <t>Control / cyber</t>
        </is>
      </c>
      <c r="D34" s="6" t="inlineStr">
        <is>
          <t>SDK race/deadlock</t>
        </is>
      </c>
      <c r="E34" s="6" t="inlineStr">
        <is>
          <t>Python GIL / async race in motorbridge holds last command</t>
        </is>
      </c>
      <c r="F34" s="6" t="inlineStr">
        <is>
          <t>13849-1</t>
        </is>
      </c>
    </row>
    <row r="35">
      <c r="B35" s="6" t="inlineStr">
        <is>
          <t>HZ-C05</t>
        </is>
      </c>
      <c r="C35" s="6" t="inlineStr">
        <is>
          <t>Control / cyber</t>
        </is>
      </c>
      <c r="D35" s="6" t="inlineStr">
        <is>
          <t>Joint limit overshoot</t>
        </is>
      </c>
      <c r="E35" s="6" t="inlineStr">
        <is>
          <t>Position cmd exceeds soft limit → mech end-stop or singularity</t>
        </is>
      </c>
      <c r="F35" s="6" t="inlineStr">
        <is>
          <t>10218-1 §5.10</t>
        </is>
      </c>
    </row>
    <row r="36">
      <c r="B36" s="6" t="inlineStr">
        <is>
          <t>HZ-C06</t>
        </is>
      </c>
      <c r="C36" s="6" t="inlineStr">
        <is>
          <t>Control / cyber</t>
        </is>
      </c>
      <c r="D36" s="6" t="inlineStr">
        <is>
          <t>LeRobot policy edge case</t>
        </is>
      </c>
      <c r="E36" s="6" t="inlineStr">
        <is>
          <t>Imitation policy outputs unsafe trajectory under OOD scene</t>
        </is>
      </c>
      <c r="F36" s="6" t="inlineStr">
        <is>
          <t>GAP-LP-01</t>
        </is>
      </c>
    </row>
    <row r="37">
      <c r="B37" s="6" t="inlineStr">
        <is>
          <t>HZ-C07</t>
        </is>
      </c>
      <c r="C37" s="6" t="inlineStr">
        <is>
          <t>Control / cyber</t>
        </is>
      </c>
      <c r="D37" s="6" t="inlineStr">
        <is>
          <t>Singularity</t>
        </is>
      </c>
      <c r="E37" s="6" t="inlineStr">
        <is>
          <t>IK at workspace boundary causes joint speed spike</t>
        </is>
      </c>
      <c r="F37" s="6" t="inlineStr">
        <is>
          <t>10218-1 §5.10</t>
        </is>
      </c>
    </row>
    <row r="38">
      <c r="B38" s="6" t="inlineStr">
        <is>
          <t>HZ-D01</t>
        </is>
      </c>
      <c r="C38" s="6" t="inlineStr">
        <is>
          <t>Data / privacy</t>
        </is>
      </c>
      <c r="D38" s="6" t="inlineStr">
        <is>
          <t>Camera capture</t>
        </is>
      </c>
      <c r="E38" s="6" t="inlineStr">
        <is>
          <t>Wrist camera records persons / private spaces inadvertently</t>
        </is>
      </c>
      <c r="F38" s="6" t="inlineStr">
        <is>
          <t>GDPR ref.</t>
        </is>
      </c>
    </row>
  </sheetData>
  <mergeCells count="1">
    <mergeCell ref="B2:F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2:M39"/>
  <sheetViews>
    <sheetView showGridLines="0" workbookViewId="0">
      <selection activeCell="A1" sqref="A1"/>
    </sheetView>
  </sheetViews>
  <sheetFormatPr baseColWidth="8" defaultRowHeight="15"/>
  <cols>
    <col width="4" customWidth="1" min="1" max="1"/>
    <col width="10" customWidth="1" min="2" max="2"/>
    <col width="8" customWidth="1" min="3" max="3"/>
    <col width="36" customWidth="1" min="4" max="4"/>
    <col width="10" customWidth="1" min="5" max="5"/>
    <col width="10" customWidth="1" min="6" max="6"/>
    <col width="10" customWidth="1" min="7" max="7"/>
    <col width="10" customWidth="1" min="8" max="8"/>
    <col width="10" customWidth="1" min="9" max="9"/>
    <col width="14" customWidth="1" min="10" max="10"/>
    <col width="14" customWidth="1" min="11" max="11"/>
    <col width="22" customWidth="1" min="12" max="12"/>
  </cols>
  <sheetData>
    <row r="2">
      <c r="B2" s="4" t="inlineStr">
        <is>
          <t>Hazard Analysis &amp; Risk Assessment — ISO 12100 §6 + ISO 13849-1 risk graph</t>
        </is>
      </c>
    </row>
    <row r="3">
      <c r="B3" s="24" t="inlineStr">
        <is>
          <t>S = Severity (S1 reversible / S2 irreversible)   ·   F = Frequency / exposure (F1 seldom / F2 frequent)   ·   P = Possibility of avoidance (P1 possible / P2 scarcely possible)   →   PLr a (lowest) … e (highest)  per ISO 13849-1 Annex A</t>
        </is>
      </c>
    </row>
    <row r="5">
      <c r="B5" s="15" t="inlineStr"/>
      <c r="C5" s="15" t="inlineStr">
        <is>
          <t>ID</t>
        </is>
      </c>
      <c r="D5" s="15" t="inlineStr">
        <is>
          <t>OE</t>
        </is>
      </c>
      <c r="E5" s="15" t="inlineStr">
        <is>
          <t>Hazard / scenario</t>
        </is>
      </c>
      <c r="F5" s="15" t="inlineStr">
        <is>
          <t>S</t>
        </is>
      </c>
      <c r="G5" s="15" t="inlineStr">
        <is>
          <t>F</t>
        </is>
      </c>
      <c r="H5" s="15" t="inlineStr">
        <is>
          <t>P</t>
        </is>
      </c>
      <c r="I5" s="15" t="inlineStr">
        <is>
          <t>PLr</t>
        </is>
      </c>
      <c r="J5" s="15" t="inlineStr">
        <is>
          <t>Cat (target)</t>
        </is>
      </c>
      <c r="K5" s="15" t="inlineStr">
        <is>
          <t>Initial risk</t>
        </is>
      </c>
      <c r="L5" s="15" t="inlineStr">
        <is>
          <t>Residual (with SF)</t>
        </is>
      </c>
      <c r="M5" s="15" t="inlineStr">
        <is>
          <t>Linked SF</t>
        </is>
      </c>
    </row>
    <row r="6">
      <c r="B6" s="16" t="inlineStr">
        <is>
          <t>HZ-M01</t>
        </is>
      </c>
      <c r="C6" s="6" t="inlineStr">
        <is>
          <t>All</t>
        </is>
      </c>
      <c r="D6" s="6" t="inlineStr">
        <is>
          <t>Joint pinch / crushing finger or hand during RUN</t>
        </is>
      </c>
      <c r="E6" s="17" t="inlineStr">
        <is>
          <t>S2</t>
        </is>
      </c>
      <c r="F6" s="17" t="inlineStr">
        <is>
          <t>F2</t>
        </is>
      </c>
      <c r="G6" s="17" t="inlineStr">
        <is>
          <t>P2</t>
        </is>
      </c>
      <c r="H6" s="11" t="inlineStr">
        <is>
          <t>e</t>
        </is>
      </c>
      <c r="I6" s="17" t="inlineStr">
        <is>
          <t>4</t>
        </is>
      </c>
      <c r="J6" s="17" t="inlineStr">
        <is>
          <t>V.High</t>
        </is>
      </c>
      <c r="K6" s="10" t="inlineStr">
        <is>
          <t>Med</t>
        </is>
      </c>
      <c r="L6" s="6" t="inlineStr">
        <is>
          <t>SF-03,SF-04</t>
        </is>
      </c>
    </row>
    <row r="7">
      <c r="B7" s="16" t="inlineStr">
        <is>
          <t>HZ-M02</t>
        </is>
      </c>
      <c r="C7" s="6" t="inlineStr">
        <is>
          <t>All</t>
        </is>
      </c>
      <c r="D7" s="6" t="inlineStr">
        <is>
          <t>Gripper-jaw shearing</t>
        </is>
      </c>
      <c r="E7" s="17" t="inlineStr">
        <is>
          <t>S2</t>
        </is>
      </c>
      <c r="F7" s="17" t="inlineStr">
        <is>
          <t>F1</t>
        </is>
      </c>
      <c r="G7" s="17" t="inlineStr">
        <is>
          <t>P2</t>
        </is>
      </c>
      <c r="H7" s="11" t="inlineStr">
        <is>
          <t>d</t>
        </is>
      </c>
      <c r="I7" s="17" t="inlineStr">
        <is>
          <t>3</t>
        </is>
      </c>
      <c r="J7" s="17" t="inlineStr">
        <is>
          <t>High</t>
        </is>
      </c>
      <c r="K7" s="12" t="inlineStr">
        <is>
          <t>Low</t>
        </is>
      </c>
      <c r="L7" s="6" t="inlineStr">
        <is>
          <t>SF-04,SF-13</t>
        </is>
      </c>
    </row>
    <row r="8">
      <c r="B8" s="16" t="inlineStr">
        <is>
          <t>HZ-M03</t>
        </is>
      </c>
      <c r="C8" s="6" t="inlineStr">
        <is>
          <t>All</t>
        </is>
      </c>
      <c r="D8" s="6" t="inlineStr">
        <is>
          <t>Sharp edge / loose fastener</t>
        </is>
      </c>
      <c r="E8" s="17" t="inlineStr">
        <is>
          <t>S1</t>
        </is>
      </c>
      <c r="F8" s="17" t="inlineStr">
        <is>
          <t>F2</t>
        </is>
      </c>
      <c r="G8" s="17" t="inlineStr">
        <is>
          <t>P1</t>
        </is>
      </c>
      <c r="H8" s="12" t="inlineStr">
        <is>
          <t>b</t>
        </is>
      </c>
      <c r="I8" s="17" t="inlineStr">
        <is>
          <t>1</t>
        </is>
      </c>
      <c r="J8" s="17" t="inlineStr">
        <is>
          <t>Low</t>
        </is>
      </c>
      <c r="K8" s="12" t="inlineStr">
        <is>
          <t>Low</t>
        </is>
      </c>
      <c r="L8" s="6" t="inlineStr">
        <is>
          <t>SF-05</t>
        </is>
      </c>
    </row>
    <row r="9">
      <c r="B9" s="16" t="inlineStr">
        <is>
          <t>HZ-M04</t>
        </is>
      </c>
      <c r="C9" s="6" t="inlineStr">
        <is>
          <t>OE-2..4</t>
        </is>
      </c>
      <c r="D9" s="6" t="inlineStr">
        <is>
          <t>Arm sweep strike on torso/head</t>
        </is>
      </c>
      <c r="E9" s="17" t="inlineStr">
        <is>
          <t>S2</t>
        </is>
      </c>
      <c r="F9" s="17" t="inlineStr">
        <is>
          <t>F2</t>
        </is>
      </c>
      <c r="G9" s="17" t="inlineStr">
        <is>
          <t>P2</t>
        </is>
      </c>
      <c r="H9" s="11" t="inlineStr">
        <is>
          <t>e</t>
        </is>
      </c>
      <c r="I9" s="17" t="inlineStr">
        <is>
          <t>4</t>
        </is>
      </c>
      <c r="J9" s="17" t="inlineStr">
        <is>
          <t>V.High</t>
        </is>
      </c>
      <c r="K9" s="10" t="inlineStr">
        <is>
          <t>Med</t>
        </is>
      </c>
      <c r="L9" s="6" t="inlineStr">
        <is>
          <t>SF-03,SF-06,SF-15</t>
        </is>
      </c>
    </row>
    <row r="10">
      <c r="B10" s="16" t="inlineStr">
        <is>
          <t>HZ-M05</t>
        </is>
      </c>
      <c r="C10" s="6" t="inlineStr">
        <is>
          <t>OE-2..4</t>
        </is>
      </c>
      <c r="D10" s="6" t="inlineStr">
        <is>
          <t>Hair / clothing entanglement at joint axis</t>
        </is>
      </c>
      <c r="E10" s="17" t="inlineStr">
        <is>
          <t>S2</t>
        </is>
      </c>
      <c r="F10" s="17" t="inlineStr">
        <is>
          <t>F1</t>
        </is>
      </c>
      <c r="G10" s="17" t="inlineStr">
        <is>
          <t>P2</t>
        </is>
      </c>
      <c r="H10" s="11" t="inlineStr">
        <is>
          <t>d</t>
        </is>
      </c>
      <c r="I10" s="17" t="inlineStr">
        <is>
          <t>3</t>
        </is>
      </c>
      <c r="J10" s="17" t="inlineStr">
        <is>
          <t>High</t>
        </is>
      </c>
      <c r="K10" s="10" t="inlineStr">
        <is>
          <t>Med</t>
        </is>
      </c>
      <c r="L10" s="6" t="inlineStr">
        <is>
          <t>SF-07</t>
        </is>
      </c>
    </row>
    <row r="11">
      <c r="B11" s="16" t="inlineStr">
        <is>
          <t>HZ-M06</t>
        </is>
      </c>
      <c r="C11" s="6" t="inlineStr">
        <is>
          <t>All</t>
        </is>
      </c>
      <c r="D11" s="6" t="inlineStr">
        <is>
          <t>Tip-over of unfixtured base under payload moment</t>
        </is>
      </c>
      <c r="E11" s="17" t="inlineStr">
        <is>
          <t>S1</t>
        </is>
      </c>
      <c r="F11" s="17" t="inlineStr">
        <is>
          <t>F1</t>
        </is>
      </c>
      <c r="G11" s="17" t="inlineStr">
        <is>
          <t>P1</t>
        </is>
      </c>
      <c r="H11" s="12" t="inlineStr">
        <is>
          <t>a</t>
        </is>
      </c>
      <c r="I11" s="17" t="inlineStr">
        <is>
          <t>B</t>
        </is>
      </c>
      <c r="J11" s="17" t="inlineStr">
        <is>
          <t>Low</t>
        </is>
      </c>
      <c r="K11" s="12" t="inlineStr">
        <is>
          <t>Low</t>
        </is>
      </c>
      <c r="L11" s="6" t="inlineStr">
        <is>
          <t>SF-12 (procedure)</t>
        </is>
      </c>
    </row>
    <row r="12">
      <c r="B12" s="16" t="inlineStr">
        <is>
          <t>HZ-M07</t>
        </is>
      </c>
      <c r="C12" s="6" t="inlineStr">
        <is>
          <t>All</t>
        </is>
      </c>
      <c r="D12" s="6" t="inlineStr">
        <is>
          <t>Gripper drops payload on power loss</t>
        </is>
      </c>
      <c r="E12" s="17" t="inlineStr">
        <is>
          <t>S1</t>
        </is>
      </c>
      <c r="F12" s="17" t="inlineStr">
        <is>
          <t>F2</t>
        </is>
      </c>
      <c r="G12" s="17" t="inlineStr">
        <is>
          <t>P1</t>
        </is>
      </c>
      <c r="H12" s="12" t="inlineStr">
        <is>
          <t>b</t>
        </is>
      </c>
      <c r="I12" s="17" t="inlineStr">
        <is>
          <t>1</t>
        </is>
      </c>
      <c r="J12" s="17" t="inlineStr">
        <is>
          <t>Low</t>
        </is>
      </c>
      <c r="K12" s="12" t="inlineStr">
        <is>
          <t>Low</t>
        </is>
      </c>
      <c r="L12" s="6" t="inlineStr">
        <is>
          <t>SF-08,SF-13</t>
        </is>
      </c>
    </row>
    <row r="13">
      <c r="B13" s="16" t="inlineStr">
        <is>
          <t>HZ-M08</t>
        </is>
      </c>
      <c r="C13" s="6" t="inlineStr">
        <is>
          <t>OE-1..3</t>
        </is>
      </c>
      <c r="D13" s="6" t="inlineStr">
        <is>
          <t>Trip over PSU cable</t>
        </is>
      </c>
      <c r="E13" s="17" t="inlineStr">
        <is>
          <t>S1</t>
        </is>
      </c>
      <c r="F13" s="17" t="inlineStr">
        <is>
          <t>F2</t>
        </is>
      </c>
      <c r="G13" s="17" t="inlineStr">
        <is>
          <t>P1</t>
        </is>
      </c>
      <c r="H13" s="12" t="inlineStr">
        <is>
          <t>b</t>
        </is>
      </c>
      <c r="I13" s="17" t="inlineStr">
        <is>
          <t>1</t>
        </is>
      </c>
      <c r="J13" s="17" t="inlineStr">
        <is>
          <t>Low</t>
        </is>
      </c>
      <c r="K13" s="12" t="inlineStr">
        <is>
          <t>Low</t>
        </is>
      </c>
      <c r="L13" s="6" t="inlineStr">
        <is>
          <t>SF-09</t>
        </is>
      </c>
    </row>
    <row r="14">
      <c r="B14" s="16" t="inlineStr">
        <is>
          <t>HZ-E01</t>
        </is>
      </c>
      <c r="C14" s="6" t="inlineStr">
        <is>
          <t>All</t>
        </is>
      </c>
      <c r="D14" s="6" t="inlineStr">
        <is>
          <t>24 V DC shock at barrel jack</t>
        </is>
      </c>
      <c r="E14" s="17" t="inlineStr">
        <is>
          <t>S1</t>
        </is>
      </c>
      <c r="F14" s="17" t="inlineStr">
        <is>
          <t>F1</t>
        </is>
      </c>
      <c r="G14" s="17" t="inlineStr">
        <is>
          <t>P1</t>
        </is>
      </c>
      <c r="H14" s="12" t="inlineStr">
        <is>
          <t>a</t>
        </is>
      </c>
      <c r="I14" s="17" t="inlineStr">
        <is>
          <t>B</t>
        </is>
      </c>
      <c r="J14" s="17" t="inlineStr">
        <is>
          <t>Low</t>
        </is>
      </c>
      <c r="K14" s="12" t="inlineStr">
        <is>
          <t>Low</t>
        </is>
      </c>
      <c r="L14" s="6" t="inlineStr">
        <is>
          <t>SF-10</t>
        </is>
      </c>
    </row>
    <row r="15">
      <c r="B15" s="16" t="inlineStr">
        <is>
          <t>HZ-E02</t>
        </is>
      </c>
      <c r="C15" s="6" t="inlineStr">
        <is>
          <t>All</t>
        </is>
      </c>
      <c r="D15" s="6" t="inlineStr">
        <is>
          <t>Motor harness short → arc</t>
        </is>
      </c>
      <c r="E15" s="17" t="inlineStr">
        <is>
          <t>S2</t>
        </is>
      </c>
      <c r="F15" s="17" t="inlineStr">
        <is>
          <t>F1</t>
        </is>
      </c>
      <c r="G15" s="17" t="inlineStr">
        <is>
          <t>P1</t>
        </is>
      </c>
      <c r="H15" s="10" t="inlineStr">
        <is>
          <t>c</t>
        </is>
      </c>
      <c r="I15" s="17" t="inlineStr">
        <is>
          <t>2</t>
        </is>
      </c>
      <c r="J15" s="17" t="inlineStr">
        <is>
          <t>Med</t>
        </is>
      </c>
      <c r="K15" s="12" t="inlineStr">
        <is>
          <t>Low</t>
        </is>
      </c>
      <c r="L15" s="6" t="inlineStr">
        <is>
          <t>SF-10,SF-11</t>
        </is>
      </c>
    </row>
    <row r="16">
      <c r="B16" s="16" t="inlineStr">
        <is>
          <t>HZ-E03</t>
        </is>
      </c>
      <c r="C16" s="6" t="inlineStr">
        <is>
          <t>OE-1..2</t>
        </is>
      </c>
      <c r="D16" s="6" t="inlineStr">
        <is>
          <t>ESD damage during build/repair</t>
        </is>
      </c>
      <c r="E16" s="17" t="inlineStr">
        <is>
          <t>S1</t>
        </is>
      </c>
      <c r="F16" s="17" t="inlineStr">
        <is>
          <t>F2</t>
        </is>
      </c>
      <c r="G16" s="17" t="inlineStr">
        <is>
          <t>P1</t>
        </is>
      </c>
      <c r="H16" s="12" t="inlineStr">
        <is>
          <t>b</t>
        </is>
      </c>
      <c r="I16" s="17" t="inlineStr">
        <is>
          <t>1</t>
        </is>
      </c>
      <c r="J16" s="17" t="inlineStr">
        <is>
          <t>Low</t>
        </is>
      </c>
      <c r="K16" s="12" t="inlineStr">
        <is>
          <t>Low</t>
        </is>
      </c>
      <c r="L16" s="6" t="inlineStr">
        <is>
          <t>SF-16 (process)</t>
        </is>
      </c>
    </row>
    <row r="17">
      <c r="B17" s="16" t="inlineStr">
        <is>
          <t>HZ-E04</t>
        </is>
      </c>
      <c r="C17" s="6" t="inlineStr">
        <is>
          <t>All</t>
        </is>
      </c>
      <c r="D17" s="6" t="inlineStr">
        <is>
          <t>EMI disrupts CAN / USB camera</t>
        </is>
      </c>
      <c r="E17" s="17" t="inlineStr">
        <is>
          <t>S1</t>
        </is>
      </c>
      <c r="F17" s="17" t="inlineStr">
        <is>
          <t>F1</t>
        </is>
      </c>
      <c r="G17" s="17" t="inlineStr">
        <is>
          <t>P1</t>
        </is>
      </c>
      <c r="H17" s="12" t="inlineStr">
        <is>
          <t>a</t>
        </is>
      </c>
      <c r="I17" s="17" t="inlineStr">
        <is>
          <t>B</t>
        </is>
      </c>
      <c r="J17" s="17" t="inlineStr">
        <is>
          <t>Low</t>
        </is>
      </c>
      <c r="K17" s="12" t="inlineStr">
        <is>
          <t>Low</t>
        </is>
      </c>
      <c r="L17" s="6" t="inlineStr">
        <is>
          <t>SF-17</t>
        </is>
      </c>
    </row>
    <row r="18">
      <c r="B18" s="16" t="inlineStr">
        <is>
          <t>HZ-T01</t>
        </is>
      </c>
      <c r="C18" s="6" t="inlineStr">
        <is>
          <t>All</t>
        </is>
      </c>
      <c r="D18" s="6" t="inlineStr">
        <is>
          <t>Motor stator burn</t>
        </is>
      </c>
      <c r="E18" s="17" t="inlineStr">
        <is>
          <t>S1</t>
        </is>
      </c>
      <c r="F18" s="17" t="inlineStr">
        <is>
          <t>F2</t>
        </is>
      </c>
      <c r="G18" s="17" t="inlineStr">
        <is>
          <t>P1</t>
        </is>
      </c>
      <c r="H18" s="12" t="inlineStr">
        <is>
          <t>b</t>
        </is>
      </c>
      <c r="I18" s="17" t="inlineStr">
        <is>
          <t>1</t>
        </is>
      </c>
      <c r="J18" s="17" t="inlineStr">
        <is>
          <t>Low</t>
        </is>
      </c>
      <c r="K18" s="12" t="inlineStr">
        <is>
          <t>Low</t>
        </is>
      </c>
      <c r="L18" s="6" t="inlineStr">
        <is>
          <t>SF-14</t>
        </is>
      </c>
    </row>
    <row r="19">
      <c r="B19" s="16" t="inlineStr">
        <is>
          <t>HZ-T02</t>
        </is>
      </c>
      <c r="C19" s="6" t="inlineStr">
        <is>
          <t>All</t>
        </is>
      </c>
      <c r="D19" s="6" t="inlineStr">
        <is>
          <t>Motor harness overheat / insulation fail</t>
        </is>
      </c>
      <c r="E19" s="17" t="inlineStr">
        <is>
          <t>S2</t>
        </is>
      </c>
      <c r="F19" s="17" t="inlineStr">
        <is>
          <t>F1</t>
        </is>
      </c>
      <c r="G19" s="17" t="inlineStr">
        <is>
          <t>P1</t>
        </is>
      </c>
      <c r="H19" s="10" t="inlineStr">
        <is>
          <t>c</t>
        </is>
      </c>
      <c r="I19" s="17" t="inlineStr">
        <is>
          <t>2</t>
        </is>
      </c>
      <c r="J19" s="17" t="inlineStr">
        <is>
          <t>Med</t>
        </is>
      </c>
      <c r="K19" s="12" t="inlineStr">
        <is>
          <t>Low</t>
        </is>
      </c>
      <c r="L19" s="6" t="inlineStr">
        <is>
          <t>SF-11,SF-14</t>
        </is>
      </c>
    </row>
    <row r="20">
      <c r="B20" s="16" t="inlineStr">
        <is>
          <t>HZ-N01</t>
        </is>
      </c>
      <c r="C20" s="6" t="inlineStr">
        <is>
          <t>OE-2</t>
        </is>
      </c>
      <c r="D20" s="6" t="inlineStr">
        <is>
          <t>Servo noise &gt; 70 dBA in classroom</t>
        </is>
      </c>
      <c r="E20" s="17" t="inlineStr">
        <is>
          <t>S1</t>
        </is>
      </c>
      <c r="F20" s="17" t="inlineStr">
        <is>
          <t>F2</t>
        </is>
      </c>
      <c r="G20" s="17" t="inlineStr">
        <is>
          <t>P1</t>
        </is>
      </c>
      <c r="H20" s="12" t="inlineStr">
        <is>
          <t>b</t>
        </is>
      </c>
      <c r="I20" s="17" t="inlineStr">
        <is>
          <t>1</t>
        </is>
      </c>
      <c r="J20" s="17" t="inlineStr">
        <is>
          <t>Low</t>
        </is>
      </c>
      <c r="K20" s="12" t="inlineStr">
        <is>
          <t>Low</t>
        </is>
      </c>
      <c r="L20" s="6" t="inlineStr">
        <is>
          <t>SF-18 (procedure)</t>
        </is>
      </c>
    </row>
    <row r="21">
      <c r="B21" s="16" t="inlineStr">
        <is>
          <t>HZ-V01</t>
        </is>
      </c>
      <c r="C21" s="6" t="inlineStr">
        <is>
          <t>All</t>
        </is>
      </c>
      <c r="D21" s="6" t="inlineStr">
        <is>
          <t>Hand-arm vibration during teach</t>
        </is>
      </c>
      <c r="E21" s="17" t="inlineStr">
        <is>
          <t>S1</t>
        </is>
      </c>
      <c r="F21" s="17" t="inlineStr">
        <is>
          <t>F1</t>
        </is>
      </c>
      <c r="G21" s="17" t="inlineStr">
        <is>
          <t>P1</t>
        </is>
      </c>
      <c r="H21" s="12" t="inlineStr">
        <is>
          <t>a</t>
        </is>
      </c>
      <c r="I21" s="17" t="inlineStr">
        <is>
          <t>B</t>
        </is>
      </c>
      <c r="J21" s="17" t="inlineStr">
        <is>
          <t>Low</t>
        </is>
      </c>
      <c r="K21" s="12" t="inlineStr">
        <is>
          <t>Low</t>
        </is>
      </c>
      <c r="L21" s="6" t="inlineStr">
        <is>
          <t>Inherently low</t>
        </is>
      </c>
    </row>
    <row r="22">
      <c r="B22" s="16" t="inlineStr">
        <is>
          <t>HZ-R01</t>
        </is>
      </c>
      <c r="C22" s="6" t="inlineStr">
        <is>
          <t>All</t>
        </is>
      </c>
      <c r="D22" s="6" t="inlineStr">
        <is>
          <t>Camera IR illumination eye exposure</t>
        </is>
      </c>
      <c r="E22" s="17" t="inlineStr">
        <is>
          <t>S1</t>
        </is>
      </c>
      <c r="F22" s="17" t="inlineStr">
        <is>
          <t>F1</t>
        </is>
      </c>
      <c r="G22" s="17" t="inlineStr">
        <is>
          <t>P1</t>
        </is>
      </c>
      <c r="H22" s="12" t="inlineStr">
        <is>
          <t>a</t>
        </is>
      </c>
      <c r="I22" s="17" t="inlineStr">
        <is>
          <t>B</t>
        </is>
      </c>
      <c r="J22" s="17" t="inlineStr">
        <is>
          <t>Low</t>
        </is>
      </c>
      <c r="K22" s="12" t="inlineStr">
        <is>
          <t>Low</t>
        </is>
      </c>
      <c r="L22" s="6" t="inlineStr">
        <is>
          <t>Inherently low</t>
        </is>
      </c>
    </row>
    <row r="23">
      <c r="B23" s="16" t="inlineStr">
        <is>
          <t>HZ-X01</t>
        </is>
      </c>
      <c r="C23" s="6" t="inlineStr">
        <is>
          <t>OE-1</t>
        </is>
      </c>
      <c r="D23" s="6" t="inlineStr">
        <is>
          <t>PLA / ABS dust during repair</t>
        </is>
      </c>
      <c r="E23" s="17" t="inlineStr">
        <is>
          <t>S1</t>
        </is>
      </c>
      <c r="F23" s="17" t="inlineStr">
        <is>
          <t>F1</t>
        </is>
      </c>
      <c r="G23" s="17" t="inlineStr">
        <is>
          <t>P1</t>
        </is>
      </c>
      <c r="H23" s="12" t="inlineStr">
        <is>
          <t>a</t>
        </is>
      </c>
      <c r="I23" s="17" t="inlineStr">
        <is>
          <t>B</t>
        </is>
      </c>
      <c r="J23" s="17" t="inlineStr">
        <is>
          <t>Low</t>
        </is>
      </c>
      <c r="K23" s="12" t="inlineStr">
        <is>
          <t>Low</t>
        </is>
      </c>
      <c r="L23" s="6" t="inlineStr">
        <is>
          <t>SF-19 (PPE)</t>
        </is>
      </c>
    </row>
    <row r="24">
      <c r="B24" s="16" t="inlineStr">
        <is>
          <t>HZ-G01</t>
        </is>
      </c>
      <c r="C24" s="6" t="inlineStr">
        <is>
          <t>All</t>
        </is>
      </c>
      <c r="D24" s="6" t="inlineStr">
        <is>
          <t>Lifting injury (4.5 kg + base)</t>
        </is>
      </c>
      <c r="E24" s="17" t="inlineStr">
        <is>
          <t>S1</t>
        </is>
      </c>
      <c r="F24" s="17" t="inlineStr">
        <is>
          <t>F2</t>
        </is>
      </c>
      <c r="G24" s="17" t="inlineStr">
        <is>
          <t>P1</t>
        </is>
      </c>
      <c r="H24" s="12" t="inlineStr">
        <is>
          <t>b</t>
        </is>
      </c>
      <c r="I24" s="17" t="inlineStr">
        <is>
          <t>1</t>
        </is>
      </c>
      <c r="J24" s="17" t="inlineStr">
        <is>
          <t>Low</t>
        </is>
      </c>
      <c r="K24" s="12" t="inlineStr">
        <is>
          <t>Low</t>
        </is>
      </c>
      <c r="L24" s="6" t="inlineStr">
        <is>
          <t>SF-20 (procedure)</t>
        </is>
      </c>
    </row>
    <row r="25">
      <c r="B25" s="16" t="inlineStr">
        <is>
          <t>HZ-G02</t>
        </is>
      </c>
      <c r="C25" s="6" t="inlineStr">
        <is>
          <t>OE-2</t>
        </is>
      </c>
      <c r="D25" s="6" t="inlineStr">
        <is>
          <t>Repetitive wrist strain during teach</t>
        </is>
      </c>
      <c r="E25" s="17" t="inlineStr">
        <is>
          <t>S1</t>
        </is>
      </c>
      <c r="F25" s="17" t="inlineStr">
        <is>
          <t>F2</t>
        </is>
      </c>
      <c r="G25" s="17" t="inlineStr">
        <is>
          <t>P1</t>
        </is>
      </c>
      <c r="H25" s="12" t="inlineStr">
        <is>
          <t>b</t>
        </is>
      </c>
      <c r="I25" s="17" t="inlineStr">
        <is>
          <t>1</t>
        </is>
      </c>
      <c r="J25" s="17" t="inlineStr">
        <is>
          <t>Low</t>
        </is>
      </c>
      <c r="K25" s="12" t="inlineStr">
        <is>
          <t>Low</t>
        </is>
      </c>
      <c r="L25" s="6" t="inlineStr">
        <is>
          <t>SF-21 (procedure)</t>
        </is>
      </c>
    </row>
    <row r="26">
      <c r="B26" s="16" t="inlineStr">
        <is>
          <t>HZ-V02</t>
        </is>
      </c>
      <c r="C26" s="6" t="inlineStr">
        <is>
          <t>OE-3..4</t>
        </is>
      </c>
      <c r="D26" s="6" t="inlineStr">
        <is>
          <t>Out-of-spec ambient temp</t>
        </is>
      </c>
      <c r="E26" s="17" t="inlineStr">
        <is>
          <t>S1</t>
        </is>
      </c>
      <c r="F26" s="17" t="inlineStr">
        <is>
          <t>F1</t>
        </is>
      </c>
      <c r="G26" s="17" t="inlineStr">
        <is>
          <t>P1</t>
        </is>
      </c>
      <c r="H26" s="12" t="inlineStr">
        <is>
          <t>a</t>
        </is>
      </c>
      <c r="I26" s="17" t="inlineStr">
        <is>
          <t>B</t>
        </is>
      </c>
      <c r="J26" s="17" t="inlineStr">
        <is>
          <t>Low</t>
        </is>
      </c>
      <c r="K26" s="12" t="inlineStr">
        <is>
          <t>Low</t>
        </is>
      </c>
      <c r="L26" s="6" t="inlineStr">
        <is>
          <t>SF-22 (op restriction)</t>
        </is>
      </c>
    </row>
    <row r="27">
      <c r="B27" s="16" t="inlineStr">
        <is>
          <t>HZ-V03</t>
        </is>
      </c>
      <c r="C27" s="6" t="inlineStr">
        <is>
          <t>OE-2..4</t>
        </is>
      </c>
      <c r="D27" s="6" t="inlineStr">
        <is>
          <t>Liquid spill into joint</t>
        </is>
      </c>
      <c r="E27" s="17" t="inlineStr">
        <is>
          <t>S1</t>
        </is>
      </c>
      <c r="F27" s="17" t="inlineStr">
        <is>
          <t>F1</t>
        </is>
      </c>
      <c r="G27" s="17" t="inlineStr">
        <is>
          <t>P1</t>
        </is>
      </c>
      <c r="H27" s="12" t="inlineStr">
        <is>
          <t>a</t>
        </is>
      </c>
      <c r="I27" s="17" t="inlineStr">
        <is>
          <t>B</t>
        </is>
      </c>
      <c r="J27" s="17" t="inlineStr">
        <is>
          <t>Low</t>
        </is>
      </c>
      <c r="K27" s="12" t="inlineStr">
        <is>
          <t>Low</t>
        </is>
      </c>
      <c r="L27" s="6" t="inlineStr">
        <is>
          <t>SF-22</t>
        </is>
      </c>
    </row>
    <row r="28">
      <c r="B28" s="16" t="inlineStr">
        <is>
          <t>HZ-P01</t>
        </is>
      </c>
      <c r="C28" s="6" t="inlineStr">
        <is>
          <t>OE-3..4</t>
        </is>
      </c>
      <c r="D28" s="6" t="inlineStr">
        <is>
          <t>Quasi-static contact head exceeds TS 15066 limit</t>
        </is>
      </c>
      <c r="E28" s="17" t="inlineStr">
        <is>
          <t>S2</t>
        </is>
      </c>
      <c r="F28" s="17" t="inlineStr">
        <is>
          <t>F1</t>
        </is>
      </c>
      <c r="G28" s="17" t="inlineStr">
        <is>
          <t>P2</t>
        </is>
      </c>
      <c r="H28" s="11" t="inlineStr">
        <is>
          <t>d</t>
        </is>
      </c>
      <c r="I28" s="17" t="inlineStr">
        <is>
          <t>3</t>
        </is>
      </c>
      <c r="J28" s="17" t="inlineStr">
        <is>
          <t>High</t>
        </is>
      </c>
      <c r="K28" s="10" t="inlineStr">
        <is>
          <t>Med</t>
        </is>
      </c>
      <c r="L28" s="6" t="inlineStr">
        <is>
          <t>SF-01,SF-02</t>
        </is>
      </c>
    </row>
    <row r="29">
      <c r="B29" s="16" t="inlineStr">
        <is>
          <t>HZ-P02</t>
        </is>
      </c>
      <c r="C29" s="6" t="inlineStr">
        <is>
          <t>OE-3..4</t>
        </is>
      </c>
      <c r="D29" s="6" t="inlineStr">
        <is>
          <t>Transient hand impact &gt; 280 N</t>
        </is>
      </c>
      <c r="E29" s="17" t="inlineStr">
        <is>
          <t>S2</t>
        </is>
      </c>
      <c r="F29" s="17" t="inlineStr">
        <is>
          <t>F2</t>
        </is>
      </c>
      <c r="G29" s="17" t="inlineStr">
        <is>
          <t>P2</t>
        </is>
      </c>
      <c r="H29" s="11" t="inlineStr">
        <is>
          <t>e</t>
        </is>
      </c>
      <c r="I29" s="17" t="inlineStr">
        <is>
          <t>4</t>
        </is>
      </c>
      <c r="J29" s="17" t="inlineStr">
        <is>
          <t>V.High</t>
        </is>
      </c>
      <c r="K29" s="10" t="inlineStr">
        <is>
          <t>Med</t>
        </is>
      </c>
      <c r="L29" s="6" t="inlineStr">
        <is>
          <t>SF-01,SF-02,SF-23</t>
        </is>
      </c>
    </row>
    <row r="30">
      <c r="B30" s="16" t="inlineStr">
        <is>
          <t>HZ-P03</t>
        </is>
      </c>
      <c r="C30" s="6" t="inlineStr">
        <is>
          <t>OE-2..4</t>
        </is>
      </c>
      <c r="D30" s="6" t="inlineStr">
        <is>
          <t>Pinch finger between link and external surface</t>
        </is>
      </c>
      <c r="E30" s="17" t="inlineStr">
        <is>
          <t>S2</t>
        </is>
      </c>
      <c r="F30" s="17" t="inlineStr">
        <is>
          <t>F2</t>
        </is>
      </c>
      <c r="G30" s="17" t="inlineStr">
        <is>
          <t>P2</t>
        </is>
      </c>
      <c r="H30" s="11" t="inlineStr">
        <is>
          <t>e</t>
        </is>
      </c>
      <c r="I30" s="17" t="inlineStr">
        <is>
          <t>4</t>
        </is>
      </c>
      <c r="J30" s="17" t="inlineStr">
        <is>
          <t>V.High</t>
        </is>
      </c>
      <c r="K30" s="10" t="inlineStr">
        <is>
          <t>Med</t>
        </is>
      </c>
      <c r="L30" s="6" t="inlineStr">
        <is>
          <t>SF-03,SF-04</t>
        </is>
      </c>
    </row>
    <row r="31">
      <c r="B31" s="16" t="inlineStr">
        <is>
          <t>HZ-P04</t>
        </is>
      </c>
      <c r="C31" s="6" t="inlineStr">
        <is>
          <t>OE-2..4</t>
        </is>
      </c>
      <c r="D31" s="6" t="inlineStr">
        <is>
          <t>Auto-restart after E-Stop with operator in envelope</t>
        </is>
      </c>
      <c r="E31" s="17" t="inlineStr">
        <is>
          <t>S2</t>
        </is>
      </c>
      <c r="F31" s="17" t="inlineStr">
        <is>
          <t>F1</t>
        </is>
      </c>
      <c r="G31" s="17" t="inlineStr">
        <is>
          <t>P2</t>
        </is>
      </c>
      <c r="H31" s="11" t="inlineStr">
        <is>
          <t>d</t>
        </is>
      </c>
      <c r="I31" s="17" t="inlineStr">
        <is>
          <t>3</t>
        </is>
      </c>
      <c r="J31" s="17" t="inlineStr">
        <is>
          <t>High</t>
        </is>
      </c>
      <c r="K31" s="12" t="inlineStr">
        <is>
          <t>Low</t>
        </is>
      </c>
      <c r="L31" s="6" t="inlineStr">
        <is>
          <t>SF-24</t>
        </is>
      </c>
    </row>
    <row r="32">
      <c r="B32" s="16" t="inlineStr">
        <is>
          <t>HZ-C01</t>
        </is>
      </c>
      <c r="C32" s="6" t="inlineStr">
        <is>
          <t>All</t>
        </is>
      </c>
      <c r="D32" s="6" t="inlineStr">
        <is>
          <t>ROS topic loss in RUN — last-cmd hold</t>
        </is>
      </c>
      <c r="E32" s="17" t="inlineStr">
        <is>
          <t>S2</t>
        </is>
      </c>
      <c r="F32" s="17" t="inlineStr">
        <is>
          <t>F2</t>
        </is>
      </c>
      <c r="G32" s="17" t="inlineStr">
        <is>
          <t>P2</t>
        </is>
      </c>
      <c r="H32" s="11" t="inlineStr">
        <is>
          <t>e</t>
        </is>
      </c>
      <c r="I32" s="17" t="inlineStr">
        <is>
          <t>4</t>
        </is>
      </c>
      <c r="J32" s="17" t="inlineStr">
        <is>
          <t>V.High</t>
        </is>
      </c>
      <c r="K32" s="10" t="inlineStr">
        <is>
          <t>Med</t>
        </is>
      </c>
      <c r="L32" s="6" t="inlineStr">
        <is>
          <t>SF-08,SF-25</t>
        </is>
      </c>
    </row>
    <row r="33">
      <c r="B33" s="16" t="inlineStr">
        <is>
          <t>HZ-C02</t>
        </is>
      </c>
      <c r="C33" s="6" t="inlineStr">
        <is>
          <t>OE-2..4</t>
        </is>
      </c>
      <c r="D33" s="6" t="inlineStr">
        <is>
          <t>Unauth tele-op command via ROS / Python</t>
        </is>
      </c>
      <c r="E33" s="17" t="inlineStr">
        <is>
          <t>S2</t>
        </is>
      </c>
      <c r="F33" s="17" t="inlineStr">
        <is>
          <t>F1</t>
        </is>
      </c>
      <c r="G33" s="17" t="inlineStr">
        <is>
          <t>P2</t>
        </is>
      </c>
      <c r="H33" s="11" t="inlineStr">
        <is>
          <t>d</t>
        </is>
      </c>
      <c r="I33" s="17" t="inlineStr">
        <is>
          <t>3</t>
        </is>
      </c>
      <c r="J33" s="17" t="inlineStr">
        <is>
          <t>High</t>
        </is>
      </c>
      <c r="K33" s="12" t="inlineStr">
        <is>
          <t>Low</t>
        </is>
      </c>
      <c r="L33" s="6" t="inlineStr">
        <is>
          <t>SF-26,SF-27</t>
        </is>
      </c>
    </row>
    <row r="34">
      <c r="B34" s="16" t="inlineStr">
        <is>
          <t>HZ-C03</t>
        </is>
      </c>
      <c r="C34" s="6" t="inlineStr">
        <is>
          <t>All</t>
        </is>
      </c>
      <c r="D34" s="6" t="inlineStr">
        <is>
          <t>Encoder fault — pose drift</t>
        </is>
      </c>
      <c r="E34" s="17" t="inlineStr">
        <is>
          <t>S1</t>
        </is>
      </c>
      <c r="F34" s="17" t="inlineStr">
        <is>
          <t>F2</t>
        </is>
      </c>
      <c r="G34" s="17" t="inlineStr">
        <is>
          <t>P2</t>
        </is>
      </c>
      <c r="H34" s="10" t="inlineStr">
        <is>
          <t>c</t>
        </is>
      </c>
      <c r="I34" s="17" t="inlineStr">
        <is>
          <t>2</t>
        </is>
      </c>
      <c r="J34" s="17" t="inlineStr">
        <is>
          <t>Med</t>
        </is>
      </c>
      <c r="K34" s="12" t="inlineStr">
        <is>
          <t>Low</t>
        </is>
      </c>
      <c r="L34" s="6" t="inlineStr">
        <is>
          <t>SF-28</t>
        </is>
      </c>
    </row>
    <row r="35">
      <c r="B35" s="16" t="inlineStr">
        <is>
          <t>HZ-C04</t>
        </is>
      </c>
      <c r="C35" s="6" t="inlineStr">
        <is>
          <t>All</t>
        </is>
      </c>
      <c r="D35" s="6" t="inlineStr">
        <is>
          <t>SDK race holds last command</t>
        </is>
      </c>
      <c r="E35" s="17" t="inlineStr">
        <is>
          <t>S2</t>
        </is>
      </c>
      <c r="F35" s="17" t="inlineStr">
        <is>
          <t>F2</t>
        </is>
      </c>
      <c r="G35" s="17" t="inlineStr">
        <is>
          <t>P2</t>
        </is>
      </c>
      <c r="H35" s="11" t="inlineStr">
        <is>
          <t>e</t>
        </is>
      </c>
      <c r="I35" s="17" t="inlineStr">
        <is>
          <t>4</t>
        </is>
      </c>
      <c r="J35" s="17" t="inlineStr">
        <is>
          <t>V.High</t>
        </is>
      </c>
      <c r="K35" s="10" t="inlineStr">
        <is>
          <t>Med</t>
        </is>
      </c>
      <c r="L35" s="6" t="inlineStr">
        <is>
          <t>SF-25</t>
        </is>
      </c>
    </row>
    <row r="36">
      <c r="B36" s="16" t="inlineStr">
        <is>
          <t>HZ-C05</t>
        </is>
      </c>
      <c r="C36" s="6" t="inlineStr">
        <is>
          <t>OE-2..4</t>
        </is>
      </c>
      <c r="D36" s="6" t="inlineStr">
        <is>
          <t>Joint limit overshoot</t>
        </is>
      </c>
      <c r="E36" s="17" t="inlineStr">
        <is>
          <t>S1</t>
        </is>
      </c>
      <c r="F36" s="17" t="inlineStr">
        <is>
          <t>F2</t>
        </is>
      </c>
      <c r="G36" s="17" t="inlineStr">
        <is>
          <t>P2</t>
        </is>
      </c>
      <c r="H36" s="10" t="inlineStr">
        <is>
          <t>c</t>
        </is>
      </c>
      <c r="I36" s="17" t="inlineStr">
        <is>
          <t>2</t>
        </is>
      </c>
      <c r="J36" s="17" t="inlineStr">
        <is>
          <t>Med</t>
        </is>
      </c>
      <c r="K36" s="12" t="inlineStr">
        <is>
          <t>Low</t>
        </is>
      </c>
      <c r="L36" s="6" t="inlineStr">
        <is>
          <t>SF-29</t>
        </is>
      </c>
    </row>
    <row r="37">
      <c r="B37" s="16" t="inlineStr">
        <is>
          <t>HZ-C06</t>
        </is>
      </c>
      <c r="C37" s="6" t="inlineStr">
        <is>
          <t>OE-3..4</t>
        </is>
      </c>
      <c r="D37" s="6" t="inlineStr">
        <is>
          <t>LeRobot policy edge case → unsafe trajectory</t>
        </is>
      </c>
      <c r="E37" s="17" t="inlineStr">
        <is>
          <t>S2</t>
        </is>
      </c>
      <c r="F37" s="17" t="inlineStr">
        <is>
          <t>F2</t>
        </is>
      </c>
      <c r="G37" s="17" t="inlineStr">
        <is>
          <t>P2</t>
        </is>
      </c>
      <c r="H37" s="11" t="inlineStr">
        <is>
          <t>e</t>
        </is>
      </c>
      <c r="I37" s="17" t="inlineStr">
        <is>
          <t>4</t>
        </is>
      </c>
      <c r="J37" s="17" t="inlineStr">
        <is>
          <t>V.High</t>
        </is>
      </c>
      <c r="K37" s="11" t="inlineStr">
        <is>
          <t>High</t>
        </is>
      </c>
      <c r="L37" s="6" t="inlineStr">
        <is>
          <t>SF-01,SF-04,SF-08</t>
        </is>
      </c>
    </row>
    <row r="38">
      <c r="B38" s="16" t="inlineStr">
        <is>
          <t>HZ-C07</t>
        </is>
      </c>
      <c r="C38" s="6" t="inlineStr">
        <is>
          <t>All</t>
        </is>
      </c>
      <c r="D38" s="6" t="inlineStr">
        <is>
          <t>Singularity → joint speed spike</t>
        </is>
      </c>
      <c r="E38" s="17" t="inlineStr">
        <is>
          <t>S1</t>
        </is>
      </c>
      <c r="F38" s="17" t="inlineStr">
        <is>
          <t>F2</t>
        </is>
      </c>
      <c r="G38" s="17" t="inlineStr">
        <is>
          <t>P2</t>
        </is>
      </c>
      <c r="H38" s="10" t="inlineStr">
        <is>
          <t>c</t>
        </is>
      </c>
      <c r="I38" s="17" t="inlineStr">
        <is>
          <t>2</t>
        </is>
      </c>
      <c r="J38" s="17" t="inlineStr">
        <is>
          <t>Med</t>
        </is>
      </c>
      <c r="K38" s="12" t="inlineStr">
        <is>
          <t>Low</t>
        </is>
      </c>
      <c r="L38" s="6" t="inlineStr">
        <is>
          <t>SF-30</t>
        </is>
      </c>
    </row>
    <row r="39">
      <c r="B39" s="16" t="inlineStr">
        <is>
          <t>HZ-D01</t>
        </is>
      </c>
      <c r="C39" s="6" t="inlineStr">
        <is>
          <t>OE-3..4</t>
        </is>
      </c>
      <c r="D39" s="6" t="inlineStr">
        <is>
          <t>Wrist camera privacy capture</t>
        </is>
      </c>
      <c r="E39" s="17" t="inlineStr">
        <is>
          <t>S1</t>
        </is>
      </c>
      <c r="F39" s="17" t="inlineStr">
        <is>
          <t>F1</t>
        </is>
      </c>
      <c r="G39" s="17" t="inlineStr">
        <is>
          <t>P1</t>
        </is>
      </c>
      <c r="H39" s="12" t="inlineStr">
        <is>
          <t>a</t>
        </is>
      </c>
      <c r="I39" s="17" t="inlineStr">
        <is>
          <t>B</t>
        </is>
      </c>
      <c r="J39" s="17" t="inlineStr">
        <is>
          <t>Low</t>
        </is>
      </c>
      <c r="K39" s="12" t="inlineStr">
        <is>
          <t>Low</t>
        </is>
      </c>
      <c r="L39" s="6" t="inlineStr">
        <is>
          <t>SF-31 (procedure)</t>
        </is>
      </c>
    </row>
  </sheetData>
  <mergeCells count="2">
    <mergeCell ref="B2:L2"/>
    <mergeCell ref="B3:L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2:L25"/>
  <sheetViews>
    <sheetView showGridLines="0" workbookViewId="0">
      <selection activeCell="A1" sqref="A1"/>
    </sheetView>
  </sheetViews>
  <sheetFormatPr baseColWidth="8" defaultRowHeight="15"/>
  <cols>
    <col width="4" customWidth="1" min="1" max="1"/>
    <col width="14" customWidth="1" min="2" max="2"/>
    <col width="22" customWidth="1" min="3" max="3"/>
    <col width="22" customWidth="1" min="4" max="4"/>
    <col width="22" customWidth="1" min="5" max="5"/>
    <col width="26" customWidth="1" min="6" max="6"/>
    <col width="6" customWidth="1" min="7" max="7"/>
    <col width="6" customWidth="1" min="8" max="8"/>
    <col width="6" customWidth="1" min="9" max="9"/>
    <col width="8" customWidth="1" min="10" max="10"/>
    <col width="22" customWidth="1" min="11" max="11"/>
  </cols>
  <sheetData>
    <row r="2">
      <c r="B2" s="4" t="inlineStr">
        <is>
          <t>System-level FMEA (AIAG-VDA Action Priority)</t>
        </is>
      </c>
    </row>
    <row r="3">
      <c r="B3" s="24" t="inlineStr">
        <is>
          <t>S/O/D each 1–10. Action Priority: H = high (S≥9 or S+O≥13), M = medium, L = low. Companion DFMEA workbook for full per-component analysis.</t>
        </is>
      </c>
    </row>
    <row r="5">
      <c r="B5" s="15" t="inlineStr"/>
      <c r="C5" s="15" t="inlineStr">
        <is>
          <t>Element</t>
        </is>
      </c>
      <c r="D5" s="15" t="inlineStr">
        <is>
          <t>Function</t>
        </is>
      </c>
      <c r="E5" s="15" t="inlineStr">
        <is>
          <t>Failure mode</t>
        </is>
      </c>
      <c r="F5" s="15" t="inlineStr">
        <is>
          <t>Failure effect (system)</t>
        </is>
      </c>
      <c r="G5" s="15" t="inlineStr">
        <is>
          <t>Cause / mechanism</t>
        </is>
      </c>
      <c r="H5" s="15" t="inlineStr">
        <is>
          <t>S</t>
        </is>
      </c>
      <c r="I5" s="15" t="inlineStr">
        <is>
          <t>O</t>
        </is>
      </c>
      <c r="J5" s="15" t="inlineStr">
        <is>
          <t>D</t>
        </is>
      </c>
      <c r="K5" s="15" t="inlineStr">
        <is>
          <t>AP</t>
        </is>
      </c>
      <c r="L5" s="15" t="inlineStr">
        <is>
          <t>Mitigation / SF</t>
        </is>
      </c>
    </row>
    <row r="6">
      <c r="B6" s="16" t="inlineStr">
        <is>
          <t>Joint motor (typ. of 6, Damiao DM43xx)</t>
        </is>
      </c>
      <c r="C6" s="6" t="inlineStr">
        <is>
          <t>Apply commanded torque</t>
        </is>
      </c>
      <c r="D6" s="6" t="inlineStr">
        <is>
          <t>Open winding / loss of torque</t>
        </is>
      </c>
      <c r="E6" s="6" t="inlineStr">
        <is>
          <t>Joint goes limp; payload may drop</t>
        </is>
      </c>
      <c r="F6" s="6" t="inlineStr">
        <is>
          <t>Wear, overcurrent, connector dropout</t>
        </is>
      </c>
      <c r="G6" s="17" t="n">
        <v>7</v>
      </c>
      <c r="H6" s="17" t="n">
        <v>4</v>
      </c>
      <c r="I6" s="17" t="n">
        <v>5</v>
      </c>
      <c r="J6" s="10" t="inlineStr">
        <is>
          <t>M</t>
        </is>
      </c>
      <c r="K6" s="6" t="inlineStr">
        <is>
          <t>see tab 09</t>
        </is>
      </c>
    </row>
    <row r="7">
      <c r="B7" s="16" t="inlineStr">
        <is>
          <t>Joint motor</t>
        </is>
      </c>
      <c r="C7" s="6" t="inlineStr">
        <is>
          <t>Apply commanded torque</t>
        </is>
      </c>
      <c r="D7" s="6" t="inlineStr">
        <is>
          <t>Runaway (full torque)</t>
        </is>
      </c>
      <c r="E7" s="6" t="inlineStr">
        <is>
          <t>Uncommanded high-speed motion of link</t>
        </is>
      </c>
      <c r="F7" s="6" t="inlineStr">
        <is>
          <t>Encoder fault, FET short, FW bug</t>
        </is>
      </c>
      <c r="G7" s="17" t="n">
        <v>8</v>
      </c>
      <c r="H7" s="17" t="n">
        <v>3</v>
      </c>
      <c r="I7" s="17" t="n">
        <v>5</v>
      </c>
      <c r="J7" s="10" t="inlineStr">
        <is>
          <t>M</t>
        </is>
      </c>
      <c r="K7" s="6" t="inlineStr">
        <is>
          <t>see tab 09</t>
        </is>
      </c>
    </row>
    <row r="8">
      <c r="B8" s="16" t="inlineStr">
        <is>
          <t>Joint encoder</t>
        </is>
      </c>
      <c r="C8" s="6" t="inlineStr">
        <is>
          <t>Provide position</t>
        </is>
      </c>
      <c r="D8" s="6" t="inlineStr">
        <is>
          <t>Stuck reading</t>
        </is>
      </c>
      <c r="E8" s="6" t="inlineStr">
        <is>
          <t>Pose / trajectory diverges (HZ-C03)</t>
        </is>
      </c>
      <c r="F8" s="6" t="inlineStr">
        <is>
          <t>Optical contamination, ASIC fault</t>
        </is>
      </c>
      <c r="G8" s="17" t="n">
        <v>7</v>
      </c>
      <c r="H8" s="17" t="n">
        <v>3</v>
      </c>
      <c r="I8" s="17" t="n">
        <v>5</v>
      </c>
      <c r="J8" s="10" t="inlineStr">
        <is>
          <t>M</t>
        </is>
      </c>
      <c r="K8" s="6" t="inlineStr">
        <is>
          <t>see tab 09</t>
        </is>
      </c>
    </row>
    <row r="9">
      <c r="B9" s="16" t="inlineStr">
        <is>
          <t>Joint motor</t>
        </is>
      </c>
      <c r="C9" s="6" t="inlineStr">
        <is>
          <t>Thermal limit</t>
        </is>
      </c>
      <c r="D9" s="6" t="inlineStr">
        <is>
          <t>Overtemp not detected</t>
        </is>
      </c>
      <c r="E9" s="6" t="inlineStr">
        <is>
          <t>Stator burn (HZ-T01)</t>
        </is>
      </c>
      <c r="F9" s="6" t="inlineStr">
        <is>
          <t>Missing thermistor in low-end config, FW threshold high</t>
        </is>
      </c>
      <c r="G9" s="17" t="n">
        <v>6</v>
      </c>
      <c r="H9" s="17" t="n">
        <v>2</v>
      </c>
      <c r="I9" s="17" t="n">
        <v>6</v>
      </c>
      <c r="J9" s="12" t="inlineStr">
        <is>
          <t>L</t>
        </is>
      </c>
      <c r="K9" s="6" t="inlineStr">
        <is>
          <t>see tab 09</t>
        </is>
      </c>
    </row>
    <row r="10">
      <c r="B10" s="16" t="inlineStr">
        <is>
          <t>Motor bus (CAN/RS485)</t>
        </is>
      </c>
      <c r="C10" s="6" t="inlineStr">
        <is>
          <t>Multi-drop comms</t>
        </is>
      </c>
      <c r="D10" s="6" t="inlineStr">
        <is>
          <t>Bus-off</t>
        </is>
      </c>
      <c r="E10" s="6" t="inlineStr">
        <is>
          <t>Loss of all joints downstream of fault</t>
        </is>
      </c>
      <c r="F10" s="6" t="inlineStr">
        <is>
          <t>Connector intermittent, terminator missing</t>
        </is>
      </c>
      <c r="G10" s="17" t="n">
        <v>9</v>
      </c>
      <c r="H10" s="17" t="n">
        <v>3</v>
      </c>
      <c r="I10" s="17" t="n">
        <v>4</v>
      </c>
      <c r="J10" s="11" t="inlineStr">
        <is>
          <t>H</t>
        </is>
      </c>
      <c r="K10" s="6" t="inlineStr">
        <is>
          <t>see tab 09</t>
        </is>
      </c>
    </row>
    <row r="11">
      <c r="B11" s="16" t="inlineStr">
        <is>
          <t>Host SDK / motorbridge</t>
        </is>
      </c>
      <c r="C11" s="6" t="inlineStr">
        <is>
          <t>Run motion control loop</t>
        </is>
      </c>
      <c r="D11" s="6" t="inlineStr">
        <is>
          <t>Race / GIL stall</t>
        </is>
      </c>
      <c r="E11" s="6" t="inlineStr">
        <is>
          <t>Joints hold last command (HZ-C04)</t>
        </is>
      </c>
      <c r="F11" s="6" t="inlineStr">
        <is>
          <t>Python concurrency, OS preemption</t>
        </is>
      </c>
      <c r="G11" s="17" t="n">
        <v>7</v>
      </c>
      <c r="H11" s="17" t="n">
        <v>4</v>
      </c>
      <c r="I11" s="17" t="n">
        <v>6</v>
      </c>
      <c r="J11" s="10" t="inlineStr">
        <is>
          <t>M</t>
        </is>
      </c>
      <c r="K11" s="6" t="inlineStr">
        <is>
          <t>see tab 09</t>
        </is>
      </c>
    </row>
    <row r="12">
      <c r="B12" s="16" t="inlineStr">
        <is>
          <t>ROS2 driver</t>
        </is>
      </c>
      <c r="C12" s="6" t="inlineStr">
        <is>
          <t>Distribute commands</t>
        </is>
      </c>
      <c r="D12" s="6" t="inlineStr">
        <is>
          <t>Stale topic</t>
        </is>
      </c>
      <c r="E12" s="6" t="inlineStr">
        <is>
          <t>No update — last value held</t>
        </is>
      </c>
      <c r="F12" s="6" t="inlineStr">
        <is>
          <t>Network drop, node crash</t>
        </is>
      </c>
      <c r="G12" s="17" t="n">
        <v>7</v>
      </c>
      <c r="H12" s="17" t="n">
        <v>4</v>
      </c>
      <c r="I12" s="17" t="n">
        <v>5</v>
      </c>
      <c r="J12" s="10" t="inlineStr">
        <is>
          <t>M</t>
        </is>
      </c>
      <c r="K12" s="6" t="inlineStr">
        <is>
          <t>see tab 09</t>
        </is>
      </c>
    </row>
    <row r="13">
      <c r="B13" s="16" t="inlineStr">
        <is>
          <t>XIAO ESP32 E-Stop (if used)</t>
        </is>
      </c>
      <c r="C13" s="6" t="inlineStr">
        <is>
          <t>Open motor enable</t>
        </is>
      </c>
      <c r="D13" s="6" t="inlineStr">
        <is>
          <t>Receiver lost / firmware bug</t>
        </is>
      </c>
      <c r="E13" s="6" t="inlineStr">
        <is>
          <t>E-Stop ineffective</t>
        </is>
      </c>
      <c r="F13" s="6" t="inlineStr">
        <is>
          <t>FW bug, RF jam, battery dead</t>
        </is>
      </c>
      <c r="G13" s="17" t="n">
        <v>10</v>
      </c>
      <c r="H13" s="17" t="n">
        <v>3</v>
      </c>
      <c r="I13" s="17" t="n">
        <v>6</v>
      </c>
      <c r="J13" s="11" t="inlineStr">
        <is>
          <t>H</t>
        </is>
      </c>
      <c r="K13" s="6" t="inlineStr">
        <is>
          <t>see tab 09</t>
        </is>
      </c>
    </row>
    <row r="14">
      <c r="B14" s="16" t="inlineStr">
        <is>
          <t>Wrist camera</t>
        </is>
      </c>
      <c r="C14" s="6" t="inlineStr">
        <is>
          <t>Stream image</t>
        </is>
      </c>
      <c r="D14" s="6" t="inlineStr">
        <is>
          <t>Stream stalled</t>
        </is>
      </c>
      <c r="E14" s="6" t="inlineStr">
        <is>
          <t>Tele-op / VLA loses scene</t>
        </is>
      </c>
      <c r="F14" s="6" t="inlineStr">
        <is>
          <t>MIPI/USB fault, FW</t>
        </is>
      </c>
      <c r="G14" s="17" t="n">
        <v>5</v>
      </c>
      <c r="H14" s="17" t="n">
        <v>4</v>
      </c>
      <c r="I14" s="17" t="n">
        <v>3</v>
      </c>
      <c r="J14" s="12" t="inlineStr">
        <is>
          <t>L</t>
        </is>
      </c>
      <c r="K14" s="6" t="inlineStr">
        <is>
          <t>see tab 09</t>
        </is>
      </c>
    </row>
    <row r="15">
      <c r="B15" s="16" t="inlineStr">
        <is>
          <t>LeRobot policy</t>
        </is>
      </c>
      <c r="C15" s="6" t="inlineStr">
        <is>
          <t>Execute learned policy</t>
        </is>
      </c>
      <c r="D15" s="6" t="inlineStr">
        <is>
          <t>OOD scene → unsafe trajectory</t>
        </is>
      </c>
      <c r="E15" s="6" t="inlineStr">
        <is>
          <t>Strike / pinch (HZ-C06)</t>
        </is>
      </c>
      <c r="F15" s="6" t="inlineStr">
        <is>
          <t>Distribution shift, insufficient training data</t>
        </is>
      </c>
      <c r="G15" s="17" t="n">
        <v>8</v>
      </c>
      <c r="H15" s="17" t="n">
        <v>5</v>
      </c>
      <c r="I15" s="17" t="n">
        <v>7</v>
      </c>
      <c r="J15" s="11" t="inlineStr">
        <is>
          <t>H</t>
        </is>
      </c>
      <c r="K15" s="6" t="inlineStr">
        <is>
          <t>see tab 09</t>
        </is>
      </c>
    </row>
    <row r="16">
      <c r="B16" s="16" t="inlineStr">
        <is>
          <t>3D-printed cover</t>
        </is>
      </c>
      <c r="C16" s="6" t="inlineStr">
        <is>
          <t>Aesthetic + light guard</t>
        </is>
      </c>
      <c r="D16" s="6" t="inlineStr">
        <is>
          <t>Embrittlement / crack</t>
        </is>
      </c>
      <c r="E16" s="6" t="inlineStr">
        <is>
          <t>Sharp-edge generation (HZ-M03)</t>
        </is>
      </c>
      <c r="F16" s="6" t="inlineStr">
        <is>
          <t>UV, repeated stress</t>
        </is>
      </c>
      <c r="G16" s="17" t="n">
        <v>4</v>
      </c>
      <c r="H16" s="17" t="n">
        <v>4</v>
      </c>
      <c r="I16" s="17" t="n">
        <v>3</v>
      </c>
      <c r="J16" s="12" t="inlineStr">
        <is>
          <t>L</t>
        </is>
      </c>
      <c r="K16" s="6" t="inlineStr">
        <is>
          <t>see tab 09</t>
        </is>
      </c>
    </row>
    <row r="17">
      <c r="B17" s="16" t="inlineStr">
        <is>
          <t>Sheet-metal bracket</t>
        </is>
      </c>
      <c r="C17" s="6" t="inlineStr">
        <is>
          <t>Carry static + dynamic load</t>
        </is>
      </c>
      <c r="D17" s="6" t="inlineStr">
        <is>
          <t>Fatigue crack at fastener</t>
        </is>
      </c>
      <c r="E17" s="6" t="inlineStr">
        <is>
          <t>Joint stiffness loss</t>
        </is>
      </c>
      <c r="F17" s="6" t="inlineStr">
        <is>
          <t>Repeated load, defect</t>
        </is>
      </c>
      <c r="G17" s="17" t="n">
        <v>7</v>
      </c>
      <c r="H17" s="17" t="n">
        <v>2</v>
      </c>
      <c r="I17" s="17" t="n">
        <v>7</v>
      </c>
      <c r="J17" s="10" t="inlineStr">
        <is>
          <t>M</t>
        </is>
      </c>
      <c r="K17" s="6" t="inlineStr">
        <is>
          <t>see tab 09</t>
        </is>
      </c>
    </row>
    <row r="18">
      <c r="B18" s="16" t="inlineStr">
        <is>
          <t>Base mounting</t>
        </is>
      </c>
      <c r="C18" s="6" t="inlineStr">
        <is>
          <t>Resist tip-over moment</t>
        </is>
      </c>
      <c r="D18" s="6" t="inlineStr">
        <is>
          <t>Insufficient fixturing</t>
        </is>
      </c>
      <c r="E18" s="6" t="inlineStr">
        <is>
          <t>Tip-over (HZ-M06)</t>
        </is>
      </c>
      <c r="F18" s="6" t="inlineStr">
        <is>
          <t>User does not clamp to bench</t>
        </is>
      </c>
      <c r="G18" s="17" t="n">
        <v>7</v>
      </c>
      <c r="H18" s="17" t="n">
        <v>5</v>
      </c>
      <c r="I18" s="17" t="n">
        <v>3</v>
      </c>
      <c r="J18" s="10" t="inlineStr">
        <is>
          <t>M</t>
        </is>
      </c>
      <c r="K18" s="6" t="inlineStr">
        <is>
          <t>see tab 09</t>
        </is>
      </c>
    </row>
    <row r="19">
      <c r="B19" s="16" t="inlineStr">
        <is>
          <t>24 V PSU</t>
        </is>
      </c>
      <c r="C19" s="6" t="inlineStr">
        <is>
          <t>Provide DC bus</t>
        </is>
      </c>
      <c r="D19" s="6" t="inlineStr">
        <is>
          <t>Voltage sag under load</t>
        </is>
      </c>
      <c r="E19" s="6" t="inlineStr">
        <is>
          <t>Joints stutter; brakes may release</t>
        </is>
      </c>
      <c r="F19" s="6" t="inlineStr">
        <is>
          <t>Undersized PSU, long cable IR drop</t>
        </is>
      </c>
      <c r="G19" s="17" t="n">
        <v>6</v>
      </c>
      <c r="H19" s="17" t="n">
        <v>4</v>
      </c>
      <c r="I19" s="17" t="n">
        <v>5</v>
      </c>
      <c r="J19" s="10" t="inlineStr">
        <is>
          <t>M</t>
        </is>
      </c>
      <c r="K19" s="6" t="inlineStr">
        <is>
          <t>see tab 09</t>
        </is>
      </c>
    </row>
    <row r="20">
      <c r="B20" s="16" t="inlineStr">
        <is>
          <t>PSU input</t>
        </is>
      </c>
      <c r="C20" s="6" t="inlineStr">
        <is>
          <t>Supply disconnect</t>
        </is>
      </c>
      <c r="D20" s="6" t="inlineStr">
        <is>
          <t>Barrel-jack short</t>
        </is>
      </c>
      <c r="E20" s="6" t="inlineStr">
        <is>
          <t>Arc, magic smoke (HZ-E02)</t>
        </is>
      </c>
      <c r="F20" s="6" t="inlineStr">
        <is>
          <t>Damaged jack, foreign object</t>
        </is>
      </c>
      <c r="G20" s="17" t="n">
        <v>6</v>
      </c>
      <c r="H20" s="17" t="n">
        <v>2</v>
      </c>
      <c r="I20" s="17" t="n">
        <v>5</v>
      </c>
      <c r="J20" s="12" t="inlineStr">
        <is>
          <t>L</t>
        </is>
      </c>
      <c r="K20" s="6" t="inlineStr">
        <is>
          <t>see tab 09</t>
        </is>
      </c>
    </row>
    <row r="21">
      <c r="B21" s="16" t="inlineStr">
        <is>
          <t>Motor harness</t>
        </is>
      </c>
      <c r="C21" s="6" t="inlineStr">
        <is>
          <t>Carry power + signals</t>
        </is>
      </c>
      <c r="D21" s="6" t="inlineStr">
        <is>
          <t>Insulation chafe</t>
        </is>
      </c>
      <c r="E21" s="6" t="inlineStr">
        <is>
          <t>Short / EMC issue (HZ-E04, HZ-T02)</t>
        </is>
      </c>
      <c r="F21" s="6" t="inlineStr">
        <is>
          <t>Chafe at joint, repeated flex</t>
        </is>
      </c>
      <c r="G21" s="17" t="n">
        <v>6</v>
      </c>
      <c r="H21" s="17" t="n">
        <v>4</v>
      </c>
      <c r="I21" s="17" t="n">
        <v>5</v>
      </c>
      <c r="J21" s="10" t="inlineStr">
        <is>
          <t>M</t>
        </is>
      </c>
      <c r="K21" s="6" t="inlineStr">
        <is>
          <t>see tab 09</t>
        </is>
      </c>
    </row>
    <row r="22">
      <c r="B22" s="16" t="inlineStr">
        <is>
          <t>Gripper actuator</t>
        </is>
      </c>
      <c r="C22" s="6" t="inlineStr">
        <is>
          <t>Open/close gripper</t>
        </is>
      </c>
      <c r="D22" s="6" t="inlineStr">
        <is>
          <t>Stuck closed</t>
        </is>
      </c>
      <c r="E22" s="6" t="inlineStr">
        <is>
          <t>Trapped finger (HZ-P03) / payload not released</t>
        </is>
      </c>
      <c r="F22" s="6" t="inlineStr">
        <is>
          <t>Wear, jam</t>
        </is>
      </c>
      <c r="G22" s="17" t="n">
        <v>6</v>
      </c>
      <c r="H22" s="17" t="n">
        <v>3</v>
      </c>
      <c r="I22" s="17" t="n">
        <v>5</v>
      </c>
      <c r="J22" s="12" t="inlineStr">
        <is>
          <t>L</t>
        </is>
      </c>
      <c r="K22" s="6" t="inlineStr">
        <is>
          <t>see tab 09</t>
        </is>
      </c>
    </row>
    <row r="23">
      <c r="B23" s="16" t="inlineStr">
        <is>
          <t>Pinocchio kinematics</t>
        </is>
      </c>
      <c r="C23" s="6" t="inlineStr">
        <is>
          <t>FK / IK</t>
        </is>
      </c>
      <c r="D23" s="6" t="inlineStr">
        <is>
          <t>IK divergence at boundary</t>
        </is>
      </c>
      <c r="E23" s="6" t="inlineStr">
        <is>
          <t>Joint speed spike (HZ-C07)</t>
        </is>
      </c>
      <c r="F23" s="6" t="inlineStr">
        <is>
          <t>Numerical, singularity</t>
        </is>
      </c>
      <c r="G23" s="17" t="n">
        <v>5</v>
      </c>
      <c r="H23" s="17" t="n">
        <v>4</v>
      </c>
      <c r="I23" s="17" t="n">
        <v>4</v>
      </c>
      <c r="J23" s="12" t="inlineStr">
        <is>
          <t>L</t>
        </is>
      </c>
      <c r="K23" s="6" t="inlineStr">
        <is>
          <t>see tab 09</t>
        </is>
      </c>
    </row>
    <row r="24">
      <c r="B24" s="16" t="inlineStr">
        <is>
          <t>Operator (procedural)</t>
        </is>
      </c>
      <c r="C24" s="6" t="inlineStr">
        <is>
          <t>Command robot</t>
        </is>
      </c>
      <c r="D24" s="6" t="inlineStr">
        <is>
          <t>Skipped E-Stop test at startup</t>
        </is>
      </c>
      <c r="E24" s="6" t="inlineStr">
        <is>
          <t>E-Stop ineffective when needed</t>
        </is>
      </c>
      <c r="F24" s="6" t="inlineStr">
        <is>
          <t>No checklist enforced</t>
        </is>
      </c>
      <c r="G24" s="17" t="n">
        <v>9</v>
      </c>
      <c r="H24" s="17" t="n">
        <v>4</v>
      </c>
      <c r="I24" s="17" t="n">
        <v>8</v>
      </c>
      <c r="J24" s="11" t="inlineStr">
        <is>
          <t>H</t>
        </is>
      </c>
      <c r="K24" s="6" t="inlineStr">
        <is>
          <t>see tab 09</t>
        </is>
      </c>
    </row>
    <row r="25">
      <c r="B25" s="16" t="inlineStr">
        <is>
          <t>Wrist camera</t>
        </is>
      </c>
      <c r="C25" s="6" t="inlineStr">
        <is>
          <t>Capture image</t>
        </is>
      </c>
      <c r="D25" s="6" t="inlineStr">
        <is>
          <t>Recording without consent</t>
        </is>
      </c>
      <c r="E25" s="6" t="inlineStr">
        <is>
          <t>Privacy breach (HZ-D01)</t>
        </is>
      </c>
      <c r="F25" s="6" t="inlineStr">
        <is>
          <t>Default-on stream, unencrypted</t>
        </is>
      </c>
      <c r="G25" s="17" t="n">
        <v>5</v>
      </c>
      <c r="H25" s="17" t="n">
        <v>3</v>
      </c>
      <c r="I25" s="17" t="n">
        <v>7</v>
      </c>
      <c r="J25" s="10" t="inlineStr">
        <is>
          <t>M</t>
        </is>
      </c>
      <c r="K25" s="6" t="inlineStr">
        <is>
          <t>see tab 09</t>
        </is>
      </c>
    </row>
  </sheetData>
  <mergeCells count="2">
    <mergeCell ref="B2:L2"/>
    <mergeCell ref="B3:L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2:I35"/>
  <sheetViews>
    <sheetView showGridLines="0" workbookViewId="0">
      <selection activeCell="A1" sqref="A1"/>
    </sheetView>
  </sheetViews>
  <sheetFormatPr baseColWidth="8" defaultRowHeight="15"/>
  <cols>
    <col width="4" customWidth="1" min="1" max="1"/>
    <col width="10" customWidth="1" min="2" max="2"/>
    <col width="36" customWidth="1" min="3" max="3"/>
    <col width="12" customWidth="1" min="4" max="4"/>
    <col width="8" customWidth="1" min="5" max="5"/>
    <col width="10" customWidth="1" min="6" max="6"/>
    <col width="28" customWidth="1" min="7" max="7"/>
    <col width="22" customWidth="1" min="8" max="8"/>
  </cols>
  <sheetData>
    <row r="2">
      <c r="B2" s="4" t="inlineStr">
        <is>
          <t>Functional Safety Concept — Safety Functions, PL targets, allocation</t>
        </is>
      </c>
    </row>
    <row r="4">
      <c r="B4" s="15" t="inlineStr"/>
      <c r="C4" s="15" t="inlineStr">
        <is>
          <t>SF ID</t>
        </is>
      </c>
      <c r="D4" s="15" t="inlineStr">
        <is>
          <t>Safety function</t>
        </is>
      </c>
      <c r="E4" s="15" t="inlineStr">
        <is>
          <t>PLr (target)</t>
        </is>
      </c>
      <c r="F4" s="15" t="inlineStr">
        <is>
          <t>Cat</t>
        </is>
      </c>
      <c r="G4" s="15" t="inlineStr">
        <is>
          <t>Reaction time</t>
        </is>
      </c>
      <c r="H4" s="15" t="inlineStr">
        <is>
          <t>Allocation</t>
        </is>
      </c>
      <c r="I4" s="15" t="inlineStr">
        <is>
          <t>Linked hazards</t>
        </is>
      </c>
    </row>
    <row r="5">
      <c r="B5" s="16" t="inlineStr">
        <is>
          <t>SF-01</t>
        </is>
      </c>
      <c r="C5" s="6" t="inlineStr">
        <is>
          <t>Power-and-Force Limiting per ISO/TS 15066 (PFL)</t>
        </is>
      </c>
      <c r="D5" s="11" t="inlineStr">
        <is>
          <t>d</t>
        </is>
      </c>
      <c r="E5" s="17" t="inlineStr">
        <is>
          <t>3</t>
        </is>
      </c>
      <c r="F5" s="17" t="inlineStr">
        <is>
          <t>≤ 100 ms</t>
        </is>
      </c>
      <c r="G5" s="6" t="inlineStr">
        <is>
          <t>Motor FW + planner</t>
        </is>
      </c>
      <c r="H5" s="6" t="inlineStr">
        <is>
          <t>HZ-M04,HZ-P01,HZ-P02,HZ-C06</t>
        </is>
      </c>
    </row>
    <row r="6">
      <c r="B6" s="16" t="inlineStr">
        <is>
          <t>SF-02</t>
        </is>
      </c>
      <c r="C6" s="6" t="inlineStr">
        <is>
          <t>Soft-stop on contact-force threshold (sensor or estimator)</t>
        </is>
      </c>
      <c r="D6" s="11" t="inlineStr">
        <is>
          <t>d</t>
        </is>
      </c>
      <c r="E6" s="17" t="inlineStr">
        <is>
          <t>3</t>
        </is>
      </c>
      <c r="F6" s="17" t="inlineStr">
        <is>
          <t>≤ 50 ms</t>
        </is>
      </c>
      <c r="G6" s="6" t="inlineStr">
        <is>
          <t>Motor torque sense + planner</t>
        </is>
      </c>
      <c r="H6" s="6" t="inlineStr">
        <is>
          <t>HZ-M04,HZ-P01,HZ-P02</t>
        </is>
      </c>
    </row>
    <row r="7">
      <c r="B7" s="16" t="inlineStr">
        <is>
          <t>SF-03</t>
        </is>
      </c>
      <c r="C7" s="6" t="inlineStr">
        <is>
          <t>Joint torque / velocity limit per joint</t>
        </is>
      </c>
      <c r="D7" s="11" t="inlineStr">
        <is>
          <t>d</t>
        </is>
      </c>
      <c r="E7" s="17" t="inlineStr">
        <is>
          <t>3</t>
        </is>
      </c>
      <c r="F7" s="17" t="inlineStr">
        <is>
          <t>≤ 10 ms</t>
        </is>
      </c>
      <c r="G7" s="6" t="inlineStr">
        <is>
          <t>Motor FW</t>
        </is>
      </c>
      <c r="H7" s="6" t="inlineStr">
        <is>
          <t>HZ-M01,HZ-M04,HZ-P03</t>
        </is>
      </c>
    </row>
    <row r="8">
      <c r="B8" s="16" t="inlineStr">
        <is>
          <t>SF-04</t>
        </is>
      </c>
      <c r="C8" s="6" t="inlineStr">
        <is>
          <t>Force-limited contact / collision detection</t>
        </is>
      </c>
      <c r="D8" s="11" t="inlineStr">
        <is>
          <t>d</t>
        </is>
      </c>
      <c r="E8" s="17" t="inlineStr">
        <is>
          <t>3</t>
        </is>
      </c>
      <c r="F8" s="17" t="inlineStr">
        <is>
          <t>≤ 100 ms</t>
        </is>
      </c>
      <c r="G8" s="6" t="inlineStr">
        <is>
          <t>Motor torque feedback</t>
        </is>
      </c>
      <c r="H8" s="6" t="inlineStr">
        <is>
          <t>HZ-M01,HZ-M02,HZ-P02,HZ-P03</t>
        </is>
      </c>
    </row>
    <row r="9">
      <c r="B9" s="16" t="inlineStr">
        <is>
          <t>SF-05</t>
        </is>
      </c>
      <c r="C9" s="6" t="inlineStr">
        <is>
          <t>Sharp-edge mitigation by design (chamfer, fillet)</t>
        </is>
      </c>
      <c r="D9" s="17" t="inlineStr">
        <is>
          <t>—</t>
        </is>
      </c>
      <c r="E9" s="17" t="inlineStr">
        <is>
          <t>—</t>
        </is>
      </c>
      <c r="F9" s="17" t="inlineStr">
        <is>
          <t>Static</t>
        </is>
      </c>
      <c r="G9" s="6" t="inlineStr">
        <is>
          <t>Mech design</t>
        </is>
      </c>
      <c r="H9" s="6" t="inlineStr">
        <is>
          <t>HZ-M03</t>
        </is>
      </c>
    </row>
    <row r="10">
      <c r="B10" s="16" t="inlineStr">
        <is>
          <t>SF-06</t>
        </is>
      </c>
      <c r="C10" s="6" t="inlineStr">
        <is>
          <t>Speed reduction in shared workspace (cobot mode)</t>
        </is>
      </c>
      <c r="D10" s="10" t="inlineStr">
        <is>
          <t>c</t>
        </is>
      </c>
      <c r="E10" s="17" t="inlineStr">
        <is>
          <t>2</t>
        </is>
      </c>
      <c r="F10" s="17" t="inlineStr">
        <is>
          <t>≤ 200 ms</t>
        </is>
      </c>
      <c r="G10" s="6" t="inlineStr">
        <is>
          <t>Planner + perception</t>
        </is>
      </c>
      <c r="H10" s="6" t="inlineStr">
        <is>
          <t>HZ-M04,HZ-P02</t>
        </is>
      </c>
    </row>
    <row r="11">
      <c r="B11" s="16" t="inlineStr">
        <is>
          <t>SF-07</t>
        </is>
      </c>
      <c r="C11" s="6" t="inlineStr">
        <is>
          <t>Guarding at joint pinch zones (covers + gap ≤ 4 mm)</t>
        </is>
      </c>
      <c r="D11" s="17" t="inlineStr">
        <is>
          <t>—</t>
        </is>
      </c>
      <c r="E11" s="17" t="inlineStr">
        <is>
          <t>—</t>
        </is>
      </c>
      <c r="F11" s="17" t="inlineStr">
        <is>
          <t>Static</t>
        </is>
      </c>
      <c r="G11" s="6" t="inlineStr">
        <is>
          <t>Mech design (ISO 13854)</t>
        </is>
      </c>
      <c r="H11" s="6" t="inlineStr">
        <is>
          <t>HZ-M05,HZ-M01</t>
        </is>
      </c>
    </row>
    <row r="12">
      <c r="B12" s="16" t="inlineStr">
        <is>
          <t>SF-08</t>
        </is>
      </c>
      <c r="C12" s="6" t="inlineStr">
        <is>
          <t>Safe-stop on watchdog timeout (Cat 1 stop)</t>
        </is>
      </c>
      <c r="D12" s="11" t="inlineStr">
        <is>
          <t>d</t>
        </is>
      </c>
      <c r="E12" s="17" t="inlineStr">
        <is>
          <t>3</t>
        </is>
      </c>
      <c r="F12" s="17" t="inlineStr">
        <is>
          <t>≤ 100 ms</t>
        </is>
      </c>
      <c r="G12" s="6" t="inlineStr">
        <is>
          <t>Host SDK + ROS driver</t>
        </is>
      </c>
      <c r="H12" s="6" t="inlineStr">
        <is>
          <t>HZ-C01,HZ-C04,HZ-M07</t>
        </is>
      </c>
    </row>
    <row r="13">
      <c r="B13" s="16" t="inlineStr">
        <is>
          <t>SF-09</t>
        </is>
      </c>
      <c r="C13" s="6" t="inlineStr">
        <is>
          <t>Cable management / harness clip plan</t>
        </is>
      </c>
      <c r="D13" s="17" t="inlineStr">
        <is>
          <t>—</t>
        </is>
      </c>
      <c r="E13" s="17" t="inlineStr">
        <is>
          <t>—</t>
        </is>
      </c>
      <c r="F13" s="17" t="inlineStr">
        <is>
          <t>Static</t>
        </is>
      </c>
      <c r="G13" s="6" t="inlineStr">
        <is>
          <t>Mech + procedure</t>
        </is>
      </c>
      <c r="H13" s="6" t="inlineStr">
        <is>
          <t>HZ-M08</t>
        </is>
      </c>
    </row>
    <row r="14">
      <c r="B14" s="16" t="inlineStr">
        <is>
          <t>SF-10</t>
        </is>
      </c>
      <c r="C14" s="6" t="inlineStr">
        <is>
          <t>24 V PSU isolation + Class III SELV insulation</t>
        </is>
      </c>
      <c r="D14" s="17" t="inlineStr">
        <is>
          <t>—</t>
        </is>
      </c>
      <c r="E14" s="17" t="inlineStr">
        <is>
          <t>—</t>
        </is>
      </c>
      <c r="F14" s="17" t="inlineStr">
        <is>
          <t>Static</t>
        </is>
      </c>
      <c r="G14" s="6" t="inlineStr">
        <is>
          <t>PSU + EE design</t>
        </is>
      </c>
      <c r="H14" s="6" t="inlineStr">
        <is>
          <t>HZ-E01,HZ-E02</t>
        </is>
      </c>
    </row>
    <row r="15">
      <c r="B15" s="16" t="inlineStr">
        <is>
          <t>SF-11</t>
        </is>
      </c>
      <c r="C15" s="6" t="inlineStr">
        <is>
          <t>Per-rail fuse / overcurrent on motor branch</t>
        </is>
      </c>
      <c r="D15" s="10" t="inlineStr">
        <is>
          <t>c</t>
        </is>
      </c>
      <c r="E15" s="17" t="inlineStr">
        <is>
          <t>2</t>
        </is>
      </c>
      <c r="F15" s="17" t="inlineStr">
        <is>
          <t>≤ 50 ms</t>
        </is>
      </c>
      <c r="G15" s="6" t="inlineStr">
        <is>
          <t>PDB / PSU</t>
        </is>
      </c>
      <c r="H15" s="6" t="inlineStr">
        <is>
          <t>HZ-E02,HZ-T02</t>
        </is>
      </c>
    </row>
    <row r="16">
      <c r="B16" s="16" t="inlineStr">
        <is>
          <t>SF-12</t>
        </is>
      </c>
      <c r="C16" s="6" t="inlineStr">
        <is>
          <t>Workbench fixturing procedure</t>
        </is>
      </c>
      <c r="D16" s="17" t="inlineStr">
        <is>
          <t>—</t>
        </is>
      </c>
      <c r="E16" s="17" t="inlineStr">
        <is>
          <t>—</t>
        </is>
      </c>
      <c r="F16" s="17" t="inlineStr">
        <is>
          <t>Procedure</t>
        </is>
      </c>
      <c r="G16" s="6" t="inlineStr">
        <is>
          <t>Operator manual</t>
        </is>
      </c>
      <c r="H16" s="6" t="inlineStr">
        <is>
          <t>HZ-M06</t>
        </is>
      </c>
    </row>
    <row r="17">
      <c r="B17" s="16" t="inlineStr">
        <is>
          <t>SF-13</t>
        </is>
      </c>
      <c r="C17" s="6" t="inlineStr">
        <is>
          <t>Gripper hold-on-power-loss (mechanical or brake)</t>
        </is>
      </c>
      <c r="D17" s="10" t="inlineStr">
        <is>
          <t>c</t>
        </is>
      </c>
      <c r="E17" s="17" t="inlineStr">
        <is>
          <t>2</t>
        </is>
      </c>
      <c r="F17" s="17" t="inlineStr">
        <is>
          <t>Static</t>
        </is>
      </c>
      <c r="G17" s="6" t="inlineStr">
        <is>
          <t>Gripper design</t>
        </is>
      </c>
      <c r="H17" s="6" t="inlineStr">
        <is>
          <t>HZ-M02,HZ-M07</t>
        </is>
      </c>
    </row>
    <row r="18">
      <c r="B18" s="16" t="inlineStr">
        <is>
          <t>SF-14</t>
        </is>
      </c>
      <c r="C18" s="6" t="inlineStr">
        <is>
          <t>Stator over-temperature shutdown</t>
        </is>
      </c>
      <c r="D18" s="10" t="inlineStr">
        <is>
          <t>c</t>
        </is>
      </c>
      <c r="E18" s="17" t="inlineStr">
        <is>
          <t>2</t>
        </is>
      </c>
      <c r="F18" s="17" t="inlineStr">
        <is>
          <t>≤ 200 ms</t>
        </is>
      </c>
      <c r="G18" s="6" t="inlineStr">
        <is>
          <t>Motor FW</t>
        </is>
      </c>
      <c r="H18" s="6" t="inlineStr">
        <is>
          <t>HZ-T01,HZ-T02</t>
        </is>
      </c>
    </row>
    <row r="19">
      <c r="B19" s="16" t="inlineStr">
        <is>
          <t>SF-15</t>
        </is>
      </c>
      <c r="C19" s="6" t="inlineStr">
        <is>
          <t>Audible / visible motion-imminent annunciation</t>
        </is>
      </c>
      <c r="D19" s="12" t="inlineStr">
        <is>
          <t>b</t>
        </is>
      </c>
      <c r="E19" s="17" t="inlineStr">
        <is>
          <t>1</t>
        </is>
      </c>
      <c r="F19" s="17" t="inlineStr">
        <is>
          <t>Continuous</t>
        </is>
      </c>
      <c r="G19" s="6" t="inlineStr">
        <is>
          <t>Host + UI</t>
        </is>
      </c>
      <c r="H19" s="6" t="inlineStr">
        <is>
          <t>HZ-M04</t>
        </is>
      </c>
    </row>
    <row r="20">
      <c r="B20" s="16" t="inlineStr">
        <is>
          <t>SF-16</t>
        </is>
      </c>
      <c r="C20" s="6" t="inlineStr">
        <is>
          <t>ESD-safe assembly process</t>
        </is>
      </c>
      <c r="D20" s="17" t="inlineStr">
        <is>
          <t>—</t>
        </is>
      </c>
      <c r="E20" s="17" t="inlineStr">
        <is>
          <t>—</t>
        </is>
      </c>
      <c r="F20" s="17" t="inlineStr">
        <is>
          <t>Procedure</t>
        </is>
      </c>
      <c r="G20" s="6" t="inlineStr">
        <is>
          <t>ISO 9001 process</t>
        </is>
      </c>
      <c r="H20" s="6" t="inlineStr">
        <is>
          <t>HZ-E03</t>
        </is>
      </c>
    </row>
    <row r="21">
      <c r="B21" s="16" t="inlineStr">
        <is>
          <t>SF-17</t>
        </is>
      </c>
      <c r="C21" s="6" t="inlineStr">
        <is>
          <t>EMC shielded harness + ferrite</t>
        </is>
      </c>
      <c r="D21" s="17" t="inlineStr">
        <is>
          <t>—</t>
        </is>
      </c>
      <c r="E21" s="17" t="inlineStr">
        <is>
          <t>—</t>
        </is>
      </c>
      <c r="F21" s="17" t="inlineStr">
        <is>
          <t>Static</t>
        </is>
      </c>
      <c r="G21" s="6" t="inlineStr">
        <is>
          <t>EE design</t>
        </is>
      </c>
      <c r="H21" s="6" t="inlineStr">
        <is>
          <t>HZ-E04</t>
        </is>
      </c>
    </row>
    <row r="22">
      <c r="B22" s="16" t="inlineStr">
        <is>
          <t>SF-18</t>
        </is>
      </c>
      <c r="C22" s="6" t="inlineStr">
        <is>
          <t>Acoustic enclosure for classroom use</t>
        </is>
      </c>
      <c r="D22" s="17" t="inlineStr">
        <is>
          <t>—</t>
        </is>
      </c>
      <c r="E22" s="17" t="inlineStr">
        <is>
          <t>—</t>
        </is>
      </c>
      <c r="F22" s="17" t="inlineStr">
        <is>
          <t>Procedure</t>
        </is>
      </c>
      <c r="G22" s="6" t="inlineStr">
        <is>
          <t>Deployment guidance</t>
        </is>
      </c>
      <c r="H22" s="6" t="inlineStr">
        <is>
          <t>HZ-N01</t>
        </is>
      </c>
    </row>
    <row r="23">
      <c r="B23" s="16" t="inlineStr">
        <is>
          <t>SF-19</t>
        </is>
      </c>
      <c r="C23" s="6" t="inlineStr">
        <is>
          <t>Respiratory PPE during 3D-print sanding</t>
        </is>
      </c>
      <c r="D23" s="17" t="inlineStr">
        <is>
          <t>—</t>
        </is>
      </c>
      <c r="E23" s="17" t="inlineStr">
        <is>
          <t>—</t>
        </is>
      </c>
      <c r="F23" s="17" t="inlineStr">
        <is>
          <t>Procedure</t>
        </is>
      </c>
      <c r="G23" s="6" t="inlineStr">
        <is>
          <t>ISO 12100 §6.5.3</t>
        </is>
      </c>
      <c r="H23" s="6" t="inlineStr">
        <is>
          <t>HZ-X01</t>
        </is>
      </c>
    </row>
    <row r="24">
      <c r="B24" s="16" t="inlineStr">
        <is>
          <t>SF-20</t>
        </is>
      </c>
      <c r="C24" s="6" t="inlineStr">
        <is>
          <t>Two-handed lift procedure for arm + base</t>
        </is>
      </c>
      <c r="D24" s="17" t="inlineStr">
        <is>
          <t>—</t>
        </is>
      </c>
      <c r="E24" s="17" t="inlineStr">
        <is>
          <t>—</t>
        </is>
      </c>
      <c r="F24" s="17" t="inlineStr">
        <is>
          <t>Procedure</t>
        </is>
      </c>
      <c r="G24" s="6" t="inlineStr">
        <is>
          <t>Operator manual</t>
        </is>
      </c>
      <c r="H24" s="6" t="inlineStr">
        <is>
          <t>HZ-G01</t>
        </is>
      </c>
    </row>
    <row r="25">
      <c r="B25" s="16" t="inlineStr">
        <is>
          <t>SF-21</t>
        </is>
      </c>
      <c r="C25" s="6" t="inlineStr">
        <is>
          <t>Teach-mode duration / rest-break guidance</t>
        </is>
      </c>
      <c r="D25" s="17" t="inlineStr">
        <is>
          <t>—</t>
        </is>
      </c>
      <c r="E25" s="17" t="inlineStr">
        <is>
          <t>—</t>
        </is>
      </c>
      <c r="F25" s="17" t="inlineStr">
        <is>
          <t>Procedure</t>
        </is>
      </c>
      <c r="G25" s="6" t="inlineStr">
        <is>
          <t>Operator manual</t>
        </is>
      </c>
      <c r="H25" s="6" t="inlineStr">
        <is>
          <t>HZ-G02</t>
        </is>
      </c>
    </row>
    <row r="26">
      <c r="B26" s="16" t="inlineStr">
        <is>
          <t>SF-22</t>
        </is>
      </c>
      <c r="C26" s="6" t="inlineStr">
        <is>
          <t>Indoor-only operating envelope (no liquids)</t>
        </is>
      </c>
      <c r="D26" s="17" t="inlineStr">
        <is>
          <t>—</t>
        </is>
      </c>
      <c r="E26" s="17" t="inlineStr">
        <is>
          <t>—</t>
        </is>
      </c>
      <c r="F26" s="17" t="inlineStr">
        <is>
          <t>Procedure</t>
        </is>
      </c>
      <c r="G26" s="6" t="inlineStr">
        <is>
          <t>Operator manual</t>
        </is>
      </c>
      <c r="H26" s="6" t="inlineStr">
        <is>
          <t>HZ-V02,HZ-V03</t>
        </is>
      </c>
    </row>
    <row r="27">
      <c r="B27" s="16" t="inlineStr">
        <is>
          <t>SF-23</t>
        </is>
      </c>
      <c r="C27" s="6" t="inlineStr">
        <is>
          <t>Trajectory smoothing / jerk limit for transient contact</t>
        </is>
      </c>
      <c r="D27" s="11" t="inlineStr">
        <is>
          <t>d</t>
        </is>
      </c>
      <c r="E27" s="17" t="inlineStr">
        <is>
          <t>3</t>
        </is>
      </c>
      <c r="F27" s="17" t="inlineStr">
        <is>
          <t>≤ 50 ms</t>
        </is>
      </c>
      <c r="G27" s="6" t="inlineStr">
        <is>
          <t>Planner</t>
        </is>
      </c>
      <c r="H27" s="6" t="inlineStr">
        <is>
          <t>HZ-P02</t>
        </is>
      </c>
    </row>
    <row r="28">
      <c r="B28" s="16" t="inlineStr">
        <is>
          <t>SF-24</t>
        </is>
      </c>
      <c r="C28" s="6" t="inlineStr">
        <is>
          <t>Manual rearm after E-Stop (no auto-restart)</t>
        </is>
      </c>
      <c r="D28" s="11" t="inlineStr">
        <is>
          <t>d</t>
        </is>
      </c>
      <c r="E28" s="17" t="inlineStr">
        <is>
          <t>3</t>
        </is>
      </c>
      <c r="F28" s="17" t="inlineStr">
        <is>
          <t>Procedure</t>
        </is>
      </c>
      <c r="G28" s="6" t="inlineStr">
        <is>
          <t>ESP32 / ROS driver</t>
        </is>
      </c>
      <c r="H28" s="6" t="inlineStr">
        <is>
          <t>HZ-P04</t>
        </is>
      </c>
    </row>
    <row r="29">
      <c r="B29" s="16" t="inlineStr">
        <is>
          <t>SF-25</t>
        </is>
      </c>
      <c r="C29" s="6" t="inlineStr">
        <is>
          <t>Real-time deadline monitor / heartbeat watchdog</t>
        </is>
      </c>
      <c r="D29" s="11" t="inlineStr">
        <is>
          <t>d</t>
        </is>
      </c>
      <c r="E29" s="17" t="inlineStr">
        <is>
          <t>3</t>
        </is>
      </c>
      <c r="F29" s="17" t="inlineStr">
        <is>
          <t>≤ 50 ms</t>
        </is>
      </c>
      <c r="G29" s="6" t="inlineStr">
        <is>
          <t>Host SDK + driver</t>
        </is>
      </c>
      <c r="H29" s="6" t="inlineStr">
        <is>
          <t>HZ-C01,HZ-C04</t>
        </is>
      </c>
    </row>
    <row r="30">
      <c r="B30" s="16" t="inlineStr">
        <is>
          <t>SF-26</t>
        </is>
      </c>
      <c r="C30" s="6" t="inlineStr">
        <is>
          <t>Authenticated tele-op channel (TLS / token)</t>
        </is>
      </c>
      <c r="D30" s="10" t="inlineStr">
        <is>
          <t>c</t>
        </is>
      </c>
      <c r="E30" s="17" t="inlineStr">
        <is>
          <t>2</t>
        </is>
      </c>
      <c r="F30" s="17" t="inlineStr">
        <is>
          <t>≤ 100 ms</t>
        </is>
      </c>
      <c r="G30" s="6" t="inlineStr">
        <is>
          <t>ROS bridge / SDK</t>
        </is>
      </c>
      <c r="H30" s="6" t="inlineStr">
        <is>
          <t>HZ-C02</t>
        </is>
      </c>
    </row>
    <row r="31">
      <c r="B31" s="16" t="inlineStr">
        <is>
          <t>SF-27</t>
        </is>
      </c>
      <c r="C31" s="6" t="inlineStr">
        <is>
          <t>Operator session lock &amp; idle-timeout</t>
        </is>
      </c>
      <c r="D31" s="12" t="inlineStr">
        <is>
          <t>b</t>
        </is>
      </c>
      <c r="E31" s="17" t="inlineStr">
        <is>
          <t>1</t>
        </is>
      </c>
      <c r="F31" s="17" t="inlineStr">
        <is>
          <t>≤ 30 s</t>
        </is>
      </c>
      <c r="G31" s="6" t="inlineStr">
        <is>
          <t>Host UI</t>
        </is>
      </c>
      <c r="H31" s="6" t="inlineStr">
        <is>
          <t>HZ-C02</t>
        </is>
      </c>
    </row>
    <row r="32">
      <c r="B32" s="16" t="inlineStr">
        <is>
          <t>SF-28</t>
        </is>
      </c>
      <c r="C32" s="6" t="inlineStr">
        <is>
          <t>Encoder plausibility cross-check</t>
        </is>
      </c>
      <c r="D32" s="10" t="inlineStr">
        <is>
          <t>c</t>
        </is>
      </c>
      <c r="E32" s="17" t="inlineStr">
        <is>
          <t>2</t>
        </is>
      </c>
      <c r="F32" s="17" t="inlineStr">
        <is>
          <t>≤ 50 ms</t>
        </is>
      </c>
      <c r="G32" s="6" t="inlineStr">
        <is>
          <t>Motor FW</t>
        </is>
      </c>
      <c r="H32" s="6" t="inlineStr">
        <is>
          <t>HZ-C03</t>
        </is>
      </c>
    </row>
    <row r="33">
      <c r="B33" s="16" t="inlineStr">
        <is>
          <t>SF-29</t>
        </is>
      </c>
      <c r="C33" s="6" t="inlineStr">
        <is>
          <t>Software joint limits + mechanical end-stops</t>
        </is>
      </c>
      <c r="D33" s="10" t="inlineStr">
        <is>
          <t>c</t>
        </is>
      </c>
      <c r="E33" s="17" t="inlineStr">
        <is>
          <t>2</t>
        </is>
      </c>
      <c r="F33" s="17" t="inlineStr">
        <is>
          <t>Static</t>
        </is>
      </c>
      <c r="G33" s="6" t="inlineStr">
        <is>
          <t>FW + mech</t>
        </is>
      </c>
      <c r="H33" s="6" t="inlineStr">
        <is>
          <t>HZ-C05</t>
        </is>
      </c>
    </row>
    <row r="34">
      <c r="B34" s="16" t="inlineStr">
        <is>
          <t>SF-30</t>
        </is>
      </c>
      <c r="C34" s="6" t="inlineStr">
        <is>
          <t>Singularity avoidance in IK (damped least-squares)</t>
        </is>
      </c>
      <c r="D34" s="10" t="inlineStr">
        <is>
          <t>c</t>
        </is>
      </c>
      <c r="E34" s="17" t="inlineStr">
        <is>
          <t>2</t>
        </is>
      </c>
      <c r="F34" s="17" t="inlineStr">
        <is>
          <t>≤ 10 ms</t>
        </is>
      </c>
      <c r="G34" s="6" t="inlineStr">
        <is>
          <t>Pinocchio / planner</t>
        </is>
      </c>
      <c r="H34" s="6" t="inlineStr">
        <is>
          <t>HZ-C07</t>
        </is>
      </c>
    </row>
    <row r="35">
      <c r="B35" s="16" t="inlineStr">
        <is>
          <t>SF-31</t>
        </is>
      </c>
      <c r="C35" s="6" t="inlineStr">
        <is>
          <t>Camera default-off + opt-in recording, local store</t>
        </is>
      </c>
      <c r="D35" s="12" t="inlineStr">
        <is>
          <t>b</t>
        </is>
      </c>
      <c r="E35" s="17" t="inlineStr">
        <is>
          <t>1</t>
        </is>
      </c>
      <c r="F35" s="17" t="inlineStr">
        <is>
          <t>Procedure</t>
        </is>
      </c>
      <c r="G35" s="6" t="inlineStr">
        <is>
          <t>Driver + UI</t>
        </is>
      </c>
      <c r="H35" s="6" t="inlineStr">
        <is>
          <t>HZ-D01</t>
        </is>
      </c>
    </row>
  </sheetData>
  <mergeCells count="1">
    <mergeCell ref="B2:H2"/>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2:F30"/>
  <sheetViews>
    <sheetView showGridLines="0" workbookViewId="0">
      <selection activeCell="A1" sqref="A1"/>
    </sheetView>
  </sheetViews>
  <sheetFormatPr baseColWidth="8" defaultRowHeight="15"/>
  <cols>
    <col width="4" customWidth="1" min="1" max="1"/>
    <col width="14" customWidth="1" min="2" max="2"/>
    <col width="18" customWidth="1" min="3" max="3"/>
    <col width="60" customWidth="1" min="4" max="4"/>
    <col width="22" customWidth="1" min="5" max="5"/>
  </cols>
  <sheetData>
    <row r="2">
      <c r="B2" s="4" t="inlineStr">
        <is>
          <t>Goal Structuring Notation (GSN) Safety Argument</t>
        </is>
      </c>
    </row>
    <row r="4">
      <c r="B4" s="15" t="inlineStr"/>
      <c r="C4" s="15" t="inlineStr">
        <is>
          <t>Node ID</t>
        </is>
      </c>
      <c r="D4" s="15" t="inlineStr">
        <is>
          <t>Node type</t>
        </is>
      </c>
      <c r="E4" s="15" t="inlineStr">
        <is>
          <t>Statement</t>
        </is>
      </c>
      <c r="F4" s="15" t="inlineStr">
        <is>
          <t>Linked evidence / gaps</t>
        </is>
      </c>
    </row>
    <row r="5">
      <c r="B5" s="16" t="inlineStr">
        <is>
          <t>G1</t>
        </is>
      </c>
      <c r="C5" s="25" t="inlineStr">
        <is>
          <t>Goal</t>
        </is>
      </c>
      <c r="D5" s="6" t="inlineStr">
        <is>
          <t>reBot-DevArm B601-DM is acceptably safe within the declared operational envelope (OE-1 lab/desk supervised) and all reasonably foreseeable misuse is mitigated.</t>
        </is>
      </c>
      <c r="E5" s="6" t="inlineStr">
        <is>
          <t>See sub-goals</t>
        </is>
      </c>
    </row>
    <row r="6">
      <c r="B6" s="16" t="inlineStr">
        <is>
          <t>C1</t>
        </is>
      </c>
      <c r="C6" s="25" t="inlineStr">
        <is>
          <t>Context</t>
        </is>
      </c>
      <c r="D6" s="6" t="inlineStr">
        <is>
          <t>Item per tab 03_ItemDef. Excluded: medical use, public-facing autonomy, OE-3/4 collaborative deployment without further evidence.</t>
        </is>
      </c>
      <c r="E6" s="6" t="inlineStr">
        <is>
          <t>EV-IDEF-01</t>
        </is>
      </c>
    </row>
    <row r="7">
      <c r="B7" s="16" t="inlineStr">
        <is>
          <t>A1</t>
        </is>
      </c>
      <c r="C7" s="25" t="inlineStr">
        <is>
          <t>Assumption</t>
        </is>
      </c>
      <c r="D7" s="6" t="inlineStr">
        <is>
          <t>Assumptions A-01..A-08 hold (operator, PSU, materials, harness, fixturing, bystanders, no medical use, camera privacy).</t>
        </is>
      </c>
      <c r="E7" s="6" t="inlineStr">
        <is>
          <t>ASS-A-01..08</t>
        </is>
      </c>
    </row>
    <row r="8">
      <c r="B8" s="16" t="inlineStr">
        <is>
          <t>J1</t>
        </is>
      </c>
      <c r="C8" s="25" t="inlineStr">
        <is>
          <t>Justification</t>
        </is>
      </c>
      <c r="D8" s="6" t="inlineStr">
        <is>
          <t>Risk graph per ISO 13849-1 Annex A and ISO/TS 15066 PFL framing are appropriate for a desktop cobot arm.</t>
        </is>
      </c>
      <c r="E8" s="6" t="inlineStr">
        <is>
          <t>Standard text</t>
        </is>
      </c>
    </row>
    <row r="9">
      <c r="B9" s="16" t="inlineStr">
        <is>
          <t>S1</t>
        </is>
      </c>
      <c r="C9" s="26" t="inlineStr">
        <is>
          <t>Strategy</t>
        </is>
      </c>
      <c r="D9" s="6" t="inlineStr">
        <is>
          <t>Argument over: (a) hazard identification completeness, (b) risk reduction by 3-step method, (c) safety-function integrity (ISO 13849-1), (d) standards conformance.</t>
        </is>
      </c>
      <c r="E9" s="6" t="inlineStr">
        <is>
          <t>—</t>
        </is>
      </c>
    </row>
    <row r="10">
      <c r="B10" s="16" t="inlineStr">
        <is>
          <t>G2</t>
        </is>
      </c>
      <c r="C10" s="25" t="inlineStr">
        <is>
          <t>Goal</t>
        </is>
      </c>
      <c r="D10" s="6" t="inlineStr">
        <is>
          <t>All foreseeable hazards have been identified and catalogued.</t>
        </is>
      </c>
      <c r="E10" s="6" t="inlineStr">
        <is>
          <t>tab 06</t>
        </is>
      </c>
    </row>
    <row r="11">
      <c r="B11" s="16" t="inlineStr">
        <is>
          <t>Sn1</t>
        </is>
      </c>
      <c r="C11" s="27" t="inlineStr">
        <is>
          <t>Solution</t>
        </is>
      </c>
      <c r="D11" s="6" t="inlineStr">
        <is>
          <t>ISO 12100 Annex B + ISO 10218-1 §5.10 + TS 15066 traversed; 33 hazards catalogued.</t>
        </is>
      </c>
      <c r="E11" s="6" t="inlineStr">
        <is>
          <t>EV-HZ-01</t>
        </is>
      </c>
    </row>
    <row r="12">
      <c r="B12" s="16" t="inlineStr">
        <is>
          <t>G3</t>
        </is>
      </c>
      <c r="C12" s="25" t="inlineStr">
        <is>
          <t>Goal</t>
        </is>
      </c>
      <c r="D12" s="6" t="inlineStr">
        <is>
          <t>Risk for every hazard reduced to acceptable per ISO 12100 §6.4.</t>
        </is>
      </c>
      <c r="E12" s="6" t="inlineStr">
        <is>
          <t>tab 07</t>
        </is>
      </c>
    </row>
    <row r="13">
      <c r="B13" s="16" t="inlineStr">
        <is>
          <t>S3</t>
        </is>
      </c>
      <c r="C13" s="26" t="inlineStr">
        <is>
          <t>Strategy</t>
        </is>
      </c>
      <c r="D13" s="6" t="inlineStr">
        <is>
          <t>For each hazard apply 3-step risk reduction: inherent design → safeguard → information for use.</t>
        </is>
      </c>
      <c r="E13" s="6" t="inlineStr">
        <is>
          <t>—</t>
        </is>
      </c>
    </row>
    <row r="14">
      <c r="B14" s="16" t="inlineStr">
        <is>
          <t>G3.1</t>
        </is>
      </c>
      <c r="C14" s="25" t="inlineStr">
        <is>
          <t>Goal</t>
        </is>
      </c>
      <c r="D14" s="6" t="inlineStr">
        <is>
          <t>Inherent design eliminates hazards where practicable (chamfer, gap, fixturing).</t>
        </is>
      </c>
      <c r="E14" s="6" t="inlineStr">
        <is>
          <t>SF-05,SF-07</t>
        </is>
      </c>
    </row>
    <row r="15">
      <c r="B15" s="16" t="inlineStr">
        <is>
          <t>G3.2</t>
        </is>
      </c>
      <c r="C15" s="25" t="inlineStr">
        <is>
          <t>Goal</t>
        </is>
      </c>
      <c r="D15" s="6" t="inlineStr">
        <is>
          <t>Safeguarding controls residual hazards via 31 declared safety functions.</t>
        </is>
      </c>
      <c r="E15" s="6" t="inlineStr">
        <is>
          <t>tab 09</t>
        </is>
      </c>
    </row>
    <row r="16">
      <c r="B16" s="16" t="inlineStr">
        <is>
          <t>G3.3</t>
        </is>
      </c>
      <c r="C16" s="25" t="inlineStr">
        <is>
          <t>Goal</t>
        </is>
      </c>
      <c r="D16" s="6" t="inlineStr">
        <is>
          <t>Residual risk communicated via warnings, manuals, training.</t>
        </is>
      </c>
      <c r="E16" s="6" t="inlineStr">
        <is>
          <t>GAP-12100-02</t>
        </is>
      </c>
    </row>
    <row r="17">
      <c r="B17" s="16" t="inlineStr">
        <is>
          <t>G4</t>
        </is>
      </c>
      <c r="C17" s="25" t="inlineStr">
        <is>
          <t>Goal</t>
        </is>
      </c>
      <c r="D17" s="6" t="inlineStr">
        <is>
          <t>Each safety function meets its required PL.</t>
        </is>
      </c>
      <c r="E17" s="6" t="inlineStr">
        <is>
          <t>tab 09</t>
        </is>
      </c>
    </row>
    <row r="18">
      <c r="B18" s="16" t="inlineStr">
        <is>
          <t>S4</t>
        </is>
      </c>
      <c r="C18" s="26" t="inlineStr">
        <is>
          <t>Strategy</t>
        </is>
      </c>
      <c r="D18" s="6" t="inlineStr">
        <is>
          <t>PL achieved = function of architecture (Cat) × MTTFD × DC × CCF per ISO 13849-1 §4.5.4.</t>
        </is>
      </c>
      <c r="E18" s="6" t="inlineStr">
        <is>
          <t>—</t>
        </is>
      </c>
    </row>
    <row r="19">
      <c r="B19" s="16" t="inlineStr">
        <is>
          <t>G4.1</t>
        </is>
      </c>
      <c r="C19" s="25" t="inlineStr">
        <is>
          <t>Goal</t>
        </is>
      </c>
      <c r="D19" s="6" t="inlineStr">
        <is>
          <t>Category appropriate to PLr is selected.</t>
        </is>
      </c>
      <c r="E19" s="6" t="inlineStr">
        <is>
          <t>tab 09 col Cat</t>
        </is>
      </c>
    </row>
    <row r="20">
      <c r="B20" s="16" t="inlineStr">
        <is>
          <t>G4.2</t>
        </is>
      </c>
      <c r="C20" s="25" t="inlineStr">
        <is>
          <t>Goal</t>
        </is>
      </c>
      <c r="D20" s="6" t="inlineStr">
        <is>
          <t>MTTFD adequate per channel.</t>
        </is>
      </c>
      <c r="E20" s="6" t="inlineStr">
        <is>
          <t>GAP-13849-02</t>
        </is>
      </c>
    </row>
    <row r="21">
      <c r="B21" s="16" t="inlineStr">
        <is>
          <t>G4.3</t>
        </is>
      </c>
      <c r="C21" s="25" t="inlineStr">
        <is>
          <t>Goal</t>
        </is>
      </c>
      <c r="D21" s="6" t="inlineStr">
        <is>
          <t>DC adequate per channel.</t>
        </is>
      </c>
      <c r="E21" s="6" t="inlineStr">
        <is>
          <t>GAP-13849-02</t>
        </is>
      </c>
    </row>
    <row r="22">
      <c r="B22" s="16" t="inlineStr">
        <is>
          <t>G4.4</t>
        </is>
      </c>
      <c r="C22" s="25" t="inlineStr">
        <is>
          <t>Goal</t>
        </is>
      </c>
      <c r="D22" s="6" t="inlineStr">
        <is>
          <t>CCF score ≥ 65 per Annex F.</t>
        </is>
      </c>
      <c r="E22" s="6" t="inlineStr">
        <is>
          <t>GAP-13849-02</t>
        </is>
      </c>
    </row>
    <row r="23">
      <c r="B23" s="16" t="inlineStr">
        <is>
          <t>G4.5</t>
        </is>
      </c>
      <c r="C23" s="25" t="inlineStr">
        <is>
          <t>Goal</t>
        </is>
      </c>
      <c r="D23" s="6" t="inlineStr">
        <is>
          <t>Validation per ISO 13849-2 (analysis + testing).</t>
        </is>
      </c>
      <c r="E23" s="6" t="inlineStr">
        <is>
          <t>GAP-13849-03</t>
        </is>
      </c>
    </row>
    <row r="24">
      <c r="B24" s="16" t="inlineStr">
        <is>
          <t>G5</t>
        </is>
      </c>
      <c r="C24" s="25" t="inlineStr">
        <is>
          <t>Goal</t>
        </is>
      </c>
      <c r="D24" s="6" t="inlineStr">
        <is>
          <t>Standards conformance demonstrated for 12100 / 10218 / TS 15066 / 13849 / 9001.</t>
        </is>
      </c>
      <c r="E24" s="6" t="inlineStr">
        <is>
          <t>tab 04</t>
        </is>
      </c>
    </row>
    <row r="25">
      <c r="B25" s="16" t="inlineStr">
        <is>
          <t>Sn5</t>
        </is>
      </c>
      <c r="C25" s="27" t="inlineStr">
        <is>
          <t>Solution</t>
        </is>
      </c>
      <c r="D25" s="6" t="inlineStr">
        <is>
          <t>Standards Compliance Matrix: 4 met, 8 partial, 16 not met, 2 deferred.</t>
        </is>
      </c>
      <c r="E25" s="6" t="inlineStr">
        <is>
          <t>tab 04</t>
        </is>
      </c>
    </row>
    <row r="26">
      <c r="B26" s="16" t="inlineStr">
        <is>
          <t>G6</t>
        </is>
      </c>
      <c r="C26" s="25" t="inlineStr">
        <is>
          <t>Goal</t>
        </is>
      </c>
      <c r="D26" s="6" t="inlineStr">
        <is>
          <t>Quality management — design, manufacture, document control, NCR, CAR — meets ISO 9001.</t>
        </is>
      </c>
      <c r="E26" s="6" t="inlineStr">
        <is>
          <t>tab 04 GAP-9001-*</t>
        </is>
      </c>
    </row>
    <row r="27">
      <c r="B27" s="16" t="inlineStr">
        <is>
          <t>Sn6</t>
        </is>
      </c>
      <c r="C27" s="27" t="inlineStr">
        <is>
          <t>Solution</t>
        </is>
      </c>
      <c r="D27" s="6" t="inlineStr">
        <is>
          <t>Git revision control acceptable; design review + NCR / CAR not in place.</t>
        </is>
      </c>
      <c r="E27" s="6" t="inlineStr">
        <is>
          <t>GAP-9001-01..05</t>
        </is>
      </c>
    </row>
    <row r="28">
      <c r="B28" s="16" t="inlineStr">
        <is>
          <t>G7</t>
        </is>
      </c>
      <c r="C28" s="25" t="inlineStr">
        <is>
          <t>Goal</t>
        </is>
      </c>
      <c r="D28" s="6" t="inlineStr">
        <is>
          <t>Collaborative-mode (cobot) specifics (ISO/TS 15066 PFL) are addressed before OE-2/3/4 deployment.</t>
        </is>
      </c>
      <c r="E28" s="6" t="inlineStr">
        <is>
          <t>tab 04</t>
        </is>
      </c>
    </row>
    <row r="29">
      <c r="B29" s="16" t="inlineStr">
        <is>
          <t>Sn7</t>
        </is>
      </c>
      <c r="C29" s="27" t="inlineStr">
        <is>
          <t>Solution</t>
        </is>
      </c>
      <c r="D29" s="6" t="inlineStr">
        <is>
          <t>No PFL measurement campaign published. Deployment to OE-2/3/4 NOT recommended at concept phase.</t>
        </is>
      </c>
      <c r="E29" s="6" t="inlineStr">
        <is>
          <t>GAP-15066-01..02</t>
        </is>
      </c>
    </row>
    <row r="30">
      <c r="B30" s="16" t="inlineStr">
        <is>
          <t>CONCL</t>
        </is>
      </c>
      <c r="C30" s="28" t="inlineStr">
        <is>
          <t>Conclusion</t>
        </is>
      </c>
      <c r="D30" s="28" t="inlineStr">
        <is>
          <t>Provisional acceptance for OE-1 (lab / desk supervised) only, contingent on closure of GAP-10218-02 (E-Stop arch), GAP-13849-02 (PL evidence), GAP-15066-01 (PFL measurement), GAP-13849-03 (validation).</t>
        </is>
      </c>
      <c r="E30" s="6" t="inlineStr">
        <is>
          <t>—</t>
        </is>
      </c>
    </row>
  </sheetData>
  <mergeCells count="1">
    <mergeCell ref="B2:E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2:F16"/>
  <sheetViews>
    <sheetView showGridLines="0" workbookViewId="0">
      <selection activeCell="A1" sqref="A1"/>
    </sheetView>
  </sheetViews>
  <sheetFormatPr baseColWidth="8" defaultRowHeight="15"/>
  <cols>
    <col width="4" customWidth="1" min="1" max="1"/>
    <col width="14" customWidth="1" min="2" max="2"/>
    <col width="24" customWidth="1" min="3" max="3"/>
    <col width="50" customWidth="1" min="4" max="4"/>
    <col width="22" customWidth="1" min="5" max="5"/>
  </cols>
  <sheetData>
    <row r="2">
      <c r="B2" s="4" t="inlineStr">
        <is>
          <t>Evidence Register</t>
        </is>
      </c>
    </row>
    <row r="4">
      <c r="B4" s="15" t="inlineStr"/>
      <c r="C4" s="15" t="inlineStr">
        <is>
          <t>ID</t>
        </is>
      </c>
      <c r="D4" s="15" t="inlineStr">
        <is>
          <t>Evidence type</t>
        </is>
      </c>
      <c r="E4" s="15" t="inlineStr">
        <is>
          <t>Description / location</t>
        </is>
      </c>
      <c r="F4" s="15" t="inlineStr">
        <is>
          <t>Linked GSN node</t>
        </is>
      </c>
    </row>
    <row r="5">
      <c r="B5" s="6" t="inlineStr">
        <is>
          <t>EV-IDEF-01</t>
        </is>
      </c>
      <c r="C5" s="6" t="inlineStr">
        <is>
          <t>Item definition</t>
        </is>
      </c>
      <c r="D5" s="6" t="inlineStr">
        <is>
          <t>Tab 03_ItemDef of this workbook</t>
        </is>
      </c>
      <c r="E5" s="6" t="inlineStr">
        <is>
          <t>C1, G2</t>
        </is>
      </c>
    </row>
    <row r="6">
      <c r="B6" s="6" t="inlineStr">
        <is>
          <t>EV-HZ-01</t>
        </is>
      </c>
      <c r="C6" s="6" t="inlineStr">
        <is>
          <t>Hazard catalogue</t>
        </is>
      </c>
      <c r="D6" s="6" t="inlineStr">
        <is>
          <t>Tab 06_Hazards</t>
        </is>
      </c>
      <c r="E6" s="6" t="inlineStr">
        <is>
          <t>Sn1, G2</t>
        </is>
      </c>
    </row>
    <row r="7">
      <c r="B7" s="6" t="inlineStr">
        <is>
          <t>EV-HARA-01</t>
        </is>
      </c>
      <c r="C7" s="6" t="inlineStr">
        <is>
          <t>Risk assessment</t>
        </is>
      </c>
      <c r="D7" s="6" t="inlineStr">
        <is>
          <t>Tab 07_HARA</t>
        </is>
      </c>
      <c r="E7" s="6" t="inlineStr">
        <is>
          <t>G3</t>
        </is>
      </c>
    </row>
    <row r="8">
      <c r="B8" s="6" t="inlineStr">
        <is>
          <t>EV-PLR-01</t>
        </is>
      </c>
      <c r="C8" s="6" t="inlineStr">
        <is>
          <t>PL target</t>
        </is>
      </c>
      <c r="D8" s="6" t="inlineStr">
        <is>
          <t>Tab 09_FSC col PLr</t>
        </is>
      </c>
      <c r="E8" s="6" t="inlineStr">
        <is>
          <t>G4.1</t>
        </is>
      </c>
    </row>
    <row r="9">
      <c r="B9" s="6" t="inlineStr">
        <is>
          <t>EV-FMEA-01</t>
        </is>
      </c>
      <c r="C9" s="6" t="inlineStr">
        <is>
          <t>System FMEA</t>
        </is>
      </c>
      <c r="D9" s="6" t="inlineStr">
        <is>
          <t>Tab 08_FMEA</t>
        </is>
      </c>
      <c r="E9" s="6" t="inlineStr">
        <is>
          <t>G3.2, G4</t>
        </is>
      </c>
    </row>
    <row r="10">
      <c r="B10" s="6" t="inlineStr">
        <is>
          <t>EV-CAD-01</t>
        </is>
      </c>
      <c r="C10" s="6" t="inlineStr">
        <is>
          <t>Mechanical design</t>
        </is>
      </c>
      <c r="D10" s="6" t="inlineStr">
        <is>
          <t>STEP files in hardware/reBot_B601_DM/ (upstream)</t>
        </is>
      </c>
      <c r="E10" s="6" t="inlineStr">
        <is>
          <t>G3.1</t>
        </is>
      </c>
    </row>
    <row r="11">
      <c r="B11" s="6" t="inlineStr">
        <is>
          <t>EV-PERF-01</t>
        </is>
      </c>
      <c r="C11" s="6" t="inlineStr">
        <is>
          <t>Performance test data</t>
        </is>
      </c>
      <c r="D11" s="6" t="inlineStr">
        <is>
          <t>hardware/reBot_B601_DM/performance_testing/Performance_Testing.md (upstream)</t>
        </is>
      </c>
      <c r="E11" s="6" t="inlineStr">
        <is>
          <t>G3, G4</t>
        </is>
      </c>
    </row>
    <row r="12">
      <c r="B12" s="6" t="inlineStr">
        <is>
          <t>EV-BOM-01</t>
        </is>
      </c>
      <c r="C12" s="6" t="inlineStr">
        <is>
          <t>Bill of materials</t>
        </is>
      </c>
      <c r="D12" s="6" t="inlineStr">
        <is>
          <t>hardware/reBot_B601_DM/readme.md (upstream)</t>
        </is>
      </c>
      <c r="E12" s="6" t="inlineStr">
        <is>
          <t>Sn5</t>
        </is>
      </c>
    </row>
    <row r="13">
      <c r="B13" s="6" t="inlineStr">
        <is>
          <t>EV-SDK-01</t>
        </is>
      </c>
      <c r="C13" s="6" t="inlineStr">
        <is>
          <t>Software / SDK</t>
        </is>
      </c>
      <c r="D13" s="6" t="inlineStr">
        <is>
          <t>Python motorbridge SDK + ROS2 driver (in progress) (upstream)</t>
        </is>
      </c>
      <c r="E13" s="6" t="inlineStr">
        <is>
          <t>G3.2, G4</t>
        </is>
      </c>
    </row>
    <row r="14">
      <c r="B14" s="6" t="inlineStr">
        <is>
          <t>EV-ASM-01</t>
        </is>
      </c>
      <c r="C14" s="6" t="inlineStr">
        <is>
          <t>Assembly</t>
        </is>
      </c>
      <c r="D14" s="6" t="inlineStr">
        <is>
          <t>Assembly video + wiki (upstream)</t>
        </is>
      </c>
      <c r="E14" s="6" t="inlineStr">
        <is>
          <t>G3.2</t>
        </is>
      </c>
    </row>
    <row r="15">
      <c r="B15" s="6" t="inlineStr">
        <is>
          <t>EV-LIC-01</t>
        </is>
      </c>
      <c r="C15" s="6" t="inlineStr">
        <is>
          <t>Licensing</t>
        </is>
      </c>
      <c r="D15" s="6" t="inlineStr">
        <is>
          <t>CC BY-NC-SA 4.0 (upstream LICENSE)</t>
        </is>
      </c>
      <c r="E15" s="6" t="inlineStr">
        <is>
          <t>Sn5</t>
        </is>
      </c>
    </row>
    <row r="16">
      <c r="B16" s="6" t="inlineStr">
        <is>
          <t>EV-VCS-01</t>
        </is>
      </c>
      <c r="C16" s="6" t="inlineStr">
        <is>
          <t>Document control</t>
        </is>
      </c>
      <c r="D16" s="6" t="inlineStr">
        <is>
          <t>git revision history of jherrodthomas/reBot-DevArm fork</t>
        </is>
      </c>
      <c r="E16" s="6" t="inlineStr">
        <is>
          <t>Sn6</t>
        </is>
      </c>
    </row>
  </sheetData>
  <mergeCells count="1">
    <mergeCell ref="B2:E2"/>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2:H32"/>
  <sheetViews>
    <sheetView showGridLines="0" workbookViewId="0">
      <selection activeCell="A1" sqref="A1"/>
    </sheetView>
  </sheetViews>
  <sheetFormatPr baseColWidth="8" defaultRowHeight="15"/>
  <cols>
    <col width="4" customWidth="1" min="1" max="1"/>
    <col width="14" customWidth="1" min="2" max="2"/>
    <col width="30" customWidth="1" min="3" max="3"/>
    <col width="50" customWidth="1" min="4" max="4"/>
    <col width="12" customWidth="1" min="5" max="5"/>
    <col width="22" customWidth="1" min="6" max="6"/>
    <col width="14" customWidth="1" min="7" max="7"/>
  </cols>
  <sheetData>
    <row r="2">
      <c r="B2" s="4" t="inlineStr">
        <is>
          <t>Gap Register — work products required to close the safety case</t>
        </is>
      </c>
    </row>
    <row r="4">
      <c r="B4" s="15" t="inlineStr"/>
      <c r="C4" s="15" t="inlineStr">
        <is>
          <t>ID</t>
        </is>
      </c>
      <c r="D4" s="15" t="inlineStr">
        <is>
          <t>Standard / clause</t>
        </is>
      </c>
      <c r="E4" s="15" t="inlineStr">
        <is>
          <t>Gap description</t>
        </is>
      </c>
      <c r="F4" s="15" t="inlineStr">
        <is>
          <t>Severity</t>
        </is>
      </c>
      <c r="G4" s="15" t="inlineStr">
        <is>
          <t>Owner / closure path</t>
        </is>
      </c>
      <c r="H4" s="15" t="inlineStr">
        <is>
          <t>Target rev</t>
        </is>
      </c>
    </row>
    <row r="5">
      <c r="B5" s="6" t="inlineStr">
        <is>
          <t>GAP-12100-01</t>
        </is>
      </c>
      <c r="C5" s="6" t="inlineStr">
        <is>
          <t>ISO 12100 §6.4</t>
        </is>
      </c>
      <c r="D5" s="6" t="inlineStr">
        <is>
          <t>Adequacy-of-risk-reduction record absent for 18 of 33 hazards</t>
        </is>
      </c>
      <c r="E5" s="22" t="inlineStr">
        <is>
          <t>High</t>
        </is>
      </c>
      <c r="F5" s="6" t="inlineStr">
        <is>
          <t>Project safety officer</t>
        </is>
      </c>
      <c r="G5" s="6" t="inlineStr">
        <is>
          <t>1.0</t>
        </is>
      </c>
    </row>
    <row r="6">
      <c r="B6" s="6" t="inlineStr">
        <is>
          <t>GAP-12100-02</t>
        </is>
      </c>
      <c r="C6" s="6" t="inlineStr">
        <is>
          <t>ISO 12100 §6.5.3</t>
        </is>
      </c>
      <c r="D6" s="6" t="inlineStr">
        <is>
          <t>Information for use (warnings, residual-risk manual) not consolidated</t>
        </is>
      </c>
      <c r="E6" s="21" t="inlineStr">
        <is>
          <t>Med</t>
        </is>
      </c>
      <c r="F6" s="6" t="inlineStr">
        <is>
          <t>Tech writer</t>
        </is>
      </c>
      <c r="G6" s="6" t="inlineStr">
        <is>
          <t>0.5</t>
        </is>
      </c>
    </row>
    <row r="7">
      <c r="B7" s="6" t="inlineStr">
        <is>
          <t>GAP-10218-01</t>
        </is>
      </c>
      <c r="C7" s="6" t="inlineStr">
        <is>
          <t>ISO 10218-1 §5.4</t>
        </is>
      </c>
      <c r="D7" s="6" t="inlineStr">
        <is>
          <t>Validation evidence for safety control system (PLd / Cat 3) absent</t>
        </is>
      </c>
      <c r="E7" s="22" t="inlineStr">
        <is>
          <t>High</t>
        </is>
      </c>
      <c r="F7" s="6" t="inlineStr">
        <is>
          <t>FW + EE + Test</t>
        </is>
      </c>
      <c r="G7" s="6" t="inlineStr">
        <is>
          <t>1.0</t>
        </is>
      </c>
    </row>
    <row r="8">
      <c r="B8" s="6" t="inlineStr">
        <is>
          <t>GAP-10218-02</t>
        </is>
      </c>
      <c r="C8" s="6" t="inlineStr">
        <is>
          <t>ISO 10218-1 §5.5.3</t>
        </is>
      </c>
      <c r="D8" s="6" t="inlineStr">
        <is>
          <t>E-Stop architecture (Cat 0/1, dual channel) undocumented in upstream</t>
        </is>
      </c>
      <c r="E8" s="22" t="inlineStr">
        <is>
          <t>VHigh</t>
        </is>
      </c>
      <c r="F8" s="6" t="inlineStr">
        <is>
          <t>EE + FW</t>
        </is>
      </c>
      <c r="G8" s="6" t="inlineStr">
        <is>
          <t>0.5</t>
        </is>
      </c>
    </row>
    <row r="9">
      <c r="B9" s="6" t="inlineStr">
        <is>
          <t>GAP-10218-03</t>
        </is>
      </c>
      <c r="C9" s="6" t="inlineStr">
        <is>
          <t>ISO 10218-1 §5.10</t>
        </is>
      </c>
      <c r="D9" s="6" t="inlineStr">
        <is>
          <t>Joint speed / torque / momentum limits not declared per joint</t>
        </is>
      </c>
      <c r="E9" s="22" t="inlineStr">
        <is>
          <t>High</t>
        </is>
      </c>
      <c r="F9" s="6" t="inlineStr">
        <is>
          <t>Systems eng</t>
        </is>
      </c>
      <c r="G9" s="6" t="inlineStr">
        <is>
          <t>0.7</t>
        </is>
      </c>
    </row>
    <row r="10">
      <c r="B10" s="6" t="inlineStr">
        <is>
          <t>GAP-10218-04</t>
        </is>
      </c>
      <c r="C10" s="6" t="inlineStr">
        <is>
          <t>ISO 10218-1 §5.12</t>
        </is>
      </c>
      <c r="D10" s="6" t="inlineStr">
        <is>
          <t>Operating-mode FSM not implemented in published FW</t>
        </is>
      </c>
      <c r="E10" s="22" t="inlineStr">
        <is>
          <t>High</t>
        </is>
      </c>
      <c r="F10" s="6" t="inlineStr">
        <is>
          <t>FW</t>
        </is>
      </c>
      <c r="G10" s="6" t="inlineStr">
        <is>
          <t>0.7</t>
        </is>
      </c>
    </row>
    <row r="11">
      <c r="B11" s="6" t="inlineStr">
        <is>
          <t>GAP-15066-01</t>
        </is>
      </c>
      <c r="C11" s="6" t="inlineStr">
        <is>
          <t>ISO/TS 15066 §5</t>
        </is>
      </c>
      <c r="D11" s="6" t="inlineStr">
        <is>
          <t>PFL measurement campaign (force/pressure pad data) NOT performed</t>
        </is>
      </c>
      <c r="E11" s="22" t="inlineStr">
        <is>
          <t>VHigh</t>
        </is>
      </c>
      <c r="F11" s="6" t="inlineStr">
        <is>
          <t>Test eng</t>
        </is>
      </c>
      <c r="G11" s="6" t="inlineStr">
        <is>
          <t>0.9</t>
        </is>
      </c>
    </row>
    <row r="12">
      <c r="B12" s="6" t="inlineStr">
        <is>
          <t>GAP-15066-02</t>
        </is>
      </c>
      <c r="C12" s="6" t="inlineStr">
        <is>
          <t>ISO/TS 15066 A.2</t>
        </is>
      </c>
      <c r="D12" s="6" t="inlineStr">
        <is>
          <t>Body-region PFL thresholds not bound to joint-level torque/velocity caps</t>
        </is>
      </c>
      <c r="E12" s="22" t="inlineStr">
        <is>
          <t>VHigh</t>
        </is>
      </c>
      <c r="F12" s="6" t="inlineStr">
        <is>
          <t>Systems eng + FW</t>
        </is>
      </c>
      <c r="G12" s="6" t="inlineStr">
        <is>
          <t>0.9</t>
        </is>
      </c>
    </row>
    <row r="13">
      <c r="B13" s="6" t="inlineStr">
        <is>
          <t>GAP-13849-01</t>
        </is>
      </c>
      <c r="C13" s="6" t="inlineStr">
        <is>
          <t>ISO 13849-1 §6</t>
        </is>
      </c>
      <c r="D13" s="6" t="inlineStr">
        <is>
          <t>Cat 3 redundancy not implemented for SF-01..04, 08, 23, 25</t>
        </is>
      </c>
      <c r="E13" s="22" t="inlineStr">
        <is>
          <t>VHigh</t>
        </is>
      </c>
      <c r="F13" s="6" t="inlineStr">
        <is>
          <t>FW + EE</t>
        </is>
      </c>
      <c r="G13" s="6" t="inlineStr">
        <is>
          <t>1.0</t>
        </is>
      </c>
    </row>
    <row r="14">
      <c r="B14" s="6" t="inlineStr">
        <is>
          <t>GAP-13849-02</t>
        </is>
      </c>
      <c r="C14" s="6" t="inlineStr">
        <is>
          <t>ISO 13849-1 §7</t>
        </is>
      </c>
      <c r="D14" s="6" t="inlineStr">
        <is>
          <t>MTTFD / DC / CCF figures absent for Damiao + Robstride motors</t>
        </is>
      </c>
      <c r="E14" s="22" t="inlineStr">
        <is>
          <t>VHigh</t>
        </is>
      </c>
      <c r="F14" s="6" t="inlineStr">
        <is>
          <t>Suppliers + Systems eng</t>
        </is>
      </c>
      <c r="G14" s="6" t="inlineStr">
        <is>
          <t>1.0</t>
        </is>
      </c>
    </row>
    <row r="15">
      <c r="B15" s="6" t="inlineStr">
        <is>
          <t>GAP-13849-03</t>
        </is>
      </c>
      <c r="C15" s="6" t="inlineStr">
        <is>
          <t>ISO 13849-2</t>
        </is>
      </c>
      <c r="D15" s="6" t="inlineStr">
        <is>
          <t>Validation plan &amp; test report missing for every safety function</t>
        </is>
      </c>
      <c r="E15" s="22" t="inlineStr">
        <is>
          <t>VHigh</t>
        </is>
      </c>
      <c r="F15" s="6" t="inlineStr">
        <is>
          <t>Test eng</t>
        </is>
      </c>
      <c r="G15" s="6" t="inlineStr">
        <is>
          <t>1.0</t>
        </is>
      </c>
    </row>
    <row r="16">
      <c r="B16" s="6" t="inlineStr">
        <is>
          <t>GAP-9001-01</t>
        </is>
      </c>
      <c r="C16" s="6" t="inlineStr">
        <is>
          <t>ISO 9001 §7.5</t>
        </is>
      </c>
      <c r="D16" s="6" t="inlineStr">
        <is>
          <t>Records of test, calibration, NCR not maintained</t>
        </is>
      </c>
      <c r="E16" s="21" t="inlineStr">
        <is>
          <t>Med</t>
        </is>
      </c>
      <c r="F16" s="6" t="inlineStr">
        <is>
          <t>QMS lead</t>
        </is>
      </c>
      <c r="G16" s="6" t="inlineStr">
        <is>
          <t>0.7</t>
        </is>
      </c>
    </row>
    <row r="17">
      <c r="B17" s="6" t="inlineStr">
        <is>
          <t>GAP-9001-02</t>
        </is>
      </c>
      <c r="C17" s="6" t="inlineStr">
        <is>
          <t>ISO 9001 §8.3</t>
        </is>
      </c>
      <c r="D17" s="6" t="inlineStr">
        <is>
          <t>Design review records, design verification evidence absent</t>
        </is>
      </c>
      <c r="E17" s="21" t="inlineStr">
        <is>
          <t>Med</t>
        </is>
      </c>
      <c r="F17" s="6" t="inlineStr">
        <is>
          <t>QMS + Eng</t>
        </is>
      </c>
      <c r="G17" s="6" t="inlineStr">
        <is>
          <t>0.7</t>
        </is>
      </c>
    </row>
    <row r="18">
      <c r="B18" s="6" t="inlineStr">
        <is>
          <t>GAP-9001-03</t>
        </is>
      </c>
      <c r="C18" s="6" t="inlineStr">
        <is>
          <t>ISO 9001 §8.5.1</t>
        </is>
      </c>
      <c r="D18" s="6" t="inlineStr">
        <is>
          <t>Production process controls undeclared for kit assembly</t>
        </is>
      </c>
      <c r="E18" s="21" t="inlineStr">
        <is>
          <t>Med</t>
        </is>
      </c>
      <c r="F18" s="6" t="inlineStr">
        <is>
          <t>QMS + Ops</t>
        </is>
      </c>
      <c r="G18" s="6" t="inlineStr">
        <is>
          <t>1.0</t>
        </is>
      </c>
    </row>
    <row r="19">
      <c r="B19" s="6" t="inlineStr">
        <is>
          <t>GAP-9001-04</t>
        </is>
      </c>
      <c r="C19" s="6" t="inlineStr">
        <is>
          <t>ISO 9001 §8.7</t>
        </is>
      </c>
      <c r="D19" s="6" t="inlineStr">
        <is>
          <t>Nonconformance procedure absent</t>
        </is>
      </c>
      <c r="E19" s="21" t="inlineStr">
        <is>
          <t>Med</t>
        </is>
      </c>
      <c r="F19" s="6" t="inlineStr">
        <is>
          <t>QMS</t>
        </is>
      </c>
      <c r="G19" s="6" t="inlineStr">
        <is>
          <t>1.0</t>
        </is>
      </c>
    </row>
    <row r="20">
      <c r="B20" s="6" t="inlineStr">
        <is>
          <t>GAP-9001-05</t>
        </is>
      </c>
      <c r="C20" s="6" t="inlineStr">
        <is>
          <t>ISO 9001 §10.2</t>
        </is>
      </c>
      <c r="D20" s="6" t="inlineStr">
        <is>
          <t>CAR / corrective action system absent</t>
        </is>
      </c>
      <c r="E20" s="20" t="inlineStr">
        <is>
          <t>Low</t>
        </is>
      </c>
      <c r="F20" s="6" t="inlineStr">
        <is>
          <t>QMS</t>
        </is>
      </c>
      <c r="G20" s="6" t="inlineStr">
        <is>
          <t>1.0</t>
        </is>
      </c>
    </row>
    <row r="21">
      <c r="B21" s="6" t="inlineStr">
        <is>
          <t>GAP-60204-01</t>
        </is>
      </c>
      <c r="C21" s="6" t="inlineStr">
        <is>
          <t>IEC 60204-1 §5.3</t>
        </is>
      </c>
      <c r="D21" s="6" t="inlineStr">
        <is>
          <t>No lockable supply-disconnector specified</t>
        </is>
      </c>
      <c r="E21" s="21" t="inlineStr">
        <is>
          <t>Med</t>
        </is>
      </c>
      <c r="F21" s="6" t="inlineStr">
        <is>
          <t>EE</t>
        </is>
      </c>
      <c r="G21" s="6" t="inlineStr">
        <is>
          <t>0.7</t>
        </is>
      </c>
    </row>
    <row r="22">
      <c r="B22" s="6" t="inlineStr">
        <is>
          <t>GAP-60204-02</t>
        </is>
      </c>
      <c r="C22" s="6" t="inlineStr">
        <is>
          <t>IEC 60204-1 §9.4</t>
        </is>
      </c>
      <c r="D22" s="6" t="inlineStr">
        <is>
          <t>Inherits ISO 13849 gaps</t>
        </is>
      </c>
      <c r="E22" s="21" t="inlineStr">
        <is>
          <t>Med</t>
        </is>
      </c>
      <c r="F22" s="6" t="inlineStr">
        <is>
          <t>FW + EE</t>
        </is>
      </c>
      <c r="G22" s="6" t="inlineStr">
        <is>
          <t>1.0</t>
        </is>
      </c>
    </row>
    <row r="23">
      <c r="B23" s="6" t="inlineStr">
        <is>
          <t>GAP-60204-03</t>
        </is>
      </c>
      <c r="C23" s="6" t="inlineStr">
        <is>
          <t>IEC 60204-1 §10.7</t>
        </is>
      </c>
      <c r="D23" s="6" t="inlineStr">
        <is>
          <t>Physical E-Stop topology not documented</t>
        </is>
      </c>
      <c r="E23" s="22" t="inlineStr">
        <is>
          <t>VHigh</t>
        </is>
      </c>
      <c r="F23" s="6" t="inlineStr">
        <is>
          <t>EE</t>
        </is>
      </c>
      <c r="G23" s="6" t="inlineStr">
        <is>
          <t>0.5</t>
        </is>
      </c>
    </row>
    <row r="24">
      <c r="B24" s="6" t="inlineStr">
        <is>
          <t>GAP-EMC-01</t>
        </is>
      </c>
      <c r="C24" s="6" t="inlineStr">
        <is>
          <t>EN 61000-6-2/-3</t>
        </is>
      </c>
      <c r="D24" s="6" t="inlineStr">
        <is>
          <t>EMC immunity / emissions not declared</t>
        </is>
      </c>
      <c r="E24" s="21" t="inlineStr">
        <is>
          <t>Med</t>
        </is>
      </c>
      <c r="F24" s="6" t="inlineStr">
        <is>
          <t>EE + Test</t>
        </is>
      </c>
      <c r="G24" s="6" t="inlineStr">
        <is>
          <t>1.0</t>
        </is>
      </c>
    </row>
    <row r="25">
      <c r="B25" s="6" t="inlineStr">
        <is>
          <t>GAP-9283-01</t>
        </is>
      </c>
      <c r="C25" s="6" t="inlineStr">
        <is>
          <t>ISO 9283</t>
        </is>
      </c>
      <c r="D25" s="6" t="inlineStr">
        <is>
          <t>Repeatability declared (&lt;0.2 mm) but full ISO 9283 test pack missing</t>
        </is>
      </c>
      <c r="E25" s="20" t="inlineStr">
        <is>
          <t>Low</t>
        </is>
      </c>
      <c r="F25" s="6" t="inlineStr">
        <is>
          <t>Test eng</t>
        </is>
      </c>
      <c r="G25" s="6" t="inlineStr">
        <is>
          <t>1.0</t>
        </is>
      </c>
    </row>
    <row r="26">
      <c r="B26" s="6" t="inlineStr">
        <is>
          <t>GAP-13854-01</t>
        </is>
      </c>
      <c r="C26" s="6" t="inlineStr">
        <is>
          <t>ISO 13854</t>
        </is>
      </c>
      <c r="D26" s="6" t="inlineStr">
        <is>
          <t>Joint pinch-zone gaps not analysed</t>
        </is>
      </c>
      <c r="E26" s="22" t="inlineStr">
        <is>
          <t>High</t>
        </is>
      </c>
      <c r="F26" s="6" t="inlineStr">
        <is>
          <t>Mech eng</t>
        </is>
      </c>
      <c r="G26" s="6" t="inlineStr">
        <is>
          <t>0.7</t>
        </is>
      </c>
    </row>
    <row r="27">
      <c r="B27" s="6" t="inlineStr">
        <is>
          <t>GAP-13857-01</t>
        </is>
      </c>
      <c r="C27" s="6" t="inlineStr">
        <is>
          <t>ISO 13857</t>
        </is>
      </c>
      <c r="D27" s="6" t="inlineStr">
        <is>
          <t>Separation-distance / reach-envelope safeguarding plan missing</t>
        </is>
      </c>
      <c r="E27" s="22" t="inlineStr">
        <is>
          <t>High</t>
        </is>
      </c>
      <c r="F27" s="6" t="inlineStr">
        <is>
          <t>Mech + safety</t>
        </is>
      </c>
      <c r="G27" s="6" t="inlineStr">
        <is>
          <t>0.7</t>
        </is>
      </c>
    </row>
    <row r="28">
      <c r="B28" s="6" t="inlineStr">
        <is>
          <t>GAP-DOC-01</t>
        </is>
      </c>
      <c r="C28" s="6" t="inlineStr">
        <is>
          <t>(this case)</t>
        </is>
      </c>
      <c r="D28" s="6" t="inlineStr">
        <is>
          <t>Operator manual: limits / warnings / lockout-tagout not consolidated</t>
        </is>
      </c>
      <c r="E28" s="21" t="inlineStr">
        <is>
          <t>Med</t>
        </is>
      </c>
      <c r="F28" s="6" t="inlineStr">
        <is>
          <t>Docs</t>
        </is>
      </c>
      <c r="G28" s="6" t="inlineStr">
        <is>
          <t>0.5</t>
        </is>
      </c>
    </row>
    <row r="29">
      <c r="B29" s="6" t="inlineStr">
        <is>
          <t>GAP-CYB-01</t>
        </is>
      </c>
      <c r="C29" s="6" t="inlineStr">
        <is>
          <t>ISO 21434 (ref.)</t>
        </is>
      </c>
      <c r="D29" s="6" t="inlineStr">
        <is>
          <t>Tele-op authentication scheme not documented</t>
        </is>
      </c>
      <c r="E29" s="22" t="inlineStr">
        <is>
          <t>High</t>
        </is>
      </c>
      <c r="F29" s="6" t="inlineStr">
        <is>
          <t>FW + cloud</t>
        </is>
      </c>
      <c r="G29" s="6" t="inlineStr">
        <is>
          <t>0.7</t>
        </is>
      </c>
    </row>
    <row r="30">
      <c r="B30" s="6" t="inlineStr">
        <is>
          <t>GAP-LP-01</t>
        </is>
      </c>
      <c r="C30" s="6" t="inlineStr">
        <is>
          <t>(this case)</t>
        </is>
      </c>
      <c r="D30" s="6" t="inlineStr">
        <is>
          <t>LeRobot policy edge-case verification matrix not produced</t>
        </is>
      </c>
      <c r="E30" s="22" t="inlineStr">
        <is>
          <t>High</t>
        </is>
      </c>
      <c r="F30" s="6" t="inlineStr">
        <is>
          <t>Robotics team</t>
        </is>
      </c>
      <c r="G30" s="6" t="inlineStr">
        <is>
          <t>0.9</t>
        </is>
      </c>
    </row>
    <row r="31">
      <c r="B31" s="6" t="inlineStr">
        <is>
          <t>GAP-PRIV-01</t>
        </is>
      </c>
      <c r="C31" s="6" t="inlineStr">
        <is>
          <t>(GDPR ref.)</t>
        </is>
      </c>
      <c r="D31" s="6" t="inlineStr">
        <is>
          <t>Wrist-camera default-on streaming may capture PII; no retention/redaction policy</t>
        </is>
      </c>
      <c r="E31" s="21" t="inlineStr">
        <is>
          <t>Med</t>
        </is>
      </c>
      <c r="F31" s="6" t="inlineStr">
        <is>
          <t>Project + Docs</t>
        </is>
      </c>
      <c r="G31" s="6" t="inlineStr">
        <is>
          <t>0.7</t>
        </is>
      </c>
    </row>
    <row r="32">
      <c r="B32" s="6" t="inlineStr">
        <is>
          <t>GAP-VAR-01</t>
        </is>
      </c>
      <c r="C32" s="6" t="inlineStr">
        <is>
          <t>(this case)</t>
        </is>
      </c>
      <c r="D32" s="6" t="inlineStr">
        <is>
          <t>B601-RS (Robstride) variant differences not yet covered (BOM, FW)</t>
        </is>
      </c>
      <c r="E32" s="21" t="inlineStr">
        <is>
          <t>Med</t>
        </is>
      </c>
      <c r="F32" s="6" t="inlineStr">
        <is>
          <t>Project</t>
        </is>
      </c>
      <c r="G32" s="6" t="inlineStr">
        <is>
          <t>1.0</t>
        </is>
      </c>
    </row>
  </sheetData>
  <mergeCells count="1">
    <mergeCell ref="B2:G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2:E18"/>
  <sheetViews>
    <sheetView showGridLines="0" workbookViewId="0">
      <selection activeCell="A1" sqref="A1"/>
    </sheetView>
  </sheetViews>
  <sheetFormatPr baseColWidth="8" defaultRowHeight="15"/>
  <cols>
    <col width="4" customWidth="1" min="1" max="1"/>
    <col width="12" customWidth="1" min="2" max="2"/>
    <col width="60" customWidth="1" min="3" max="3"/>
    <col width="22" customWidth="1" min="4" max="4"/>
  </cols>
  <sheetData>
    <row r="2">
      <c r="B2" s="4" t="inlineStr">
        <is>
          <t>Assumptions &amp; Open Issues</t>
        </is>
      </c>
    </row>
    <row r="4">
      <c r="B4" s="15" t="inlineStr"/>
      <c r="C4" s="15" t="inlineStr">
        <is>
          <t>ID</t>
        </is>
      </c>
      <c r="D4" s="15" t="inlineStr">
        <is>
          <t>Assumption / open issue</t>
        </is>
      </c>
      <c r="E4" s="15" t="inlineStr">
        <is>
          <t>Owner / acceptance</t>
        </is>
      </c>
    </row>
    <row r="5">
      <c r="B5" s="6" t="inlineStr">
        <is>
          <t>ASS-A-01</t>
        </is>
      </c>
      <c r="C5" s="6" t="inlineStr">
        <is>
          <t>Operator is trained and within reach of an emergency-stop at all times in M-04 RUN.</t>
        </is>
      </c>
      <c r="D5" s="6" t="inlineStr">
        <is>
          <t>Deploying organisation</t>
        </is>
      </c>
    </row>
    <row r="6">
      <c r="B6" s="6" t="inlineStr">
        <is>
          <t>ASS-A-02</t>
        </is>
      </c>
      <c r="C6" s="6" t="inlineStr">
        <is>
          <t>PSU is a 24 V regulated supply rated for full bus current with overcurrent protection.</t>
        </is>
      </c>
      <c r="D6" s="6" t="inlineStr">
        <is>
          <t>Builder</t>
        </is>
      </c>
    </row>
    <row r="7">
      <c r="B7" s="6" t="inlineStr">
        <is>
          <t>ASS-A-03</t>
        </is>
      </c>
      <c r="C7" s="6" t="inlineStr">
        <is>
          <t>Mechanical structure is genuine sheet metal + certified PLA/ABS/PETG; no substitutions on load-bearing brackets.</t>
        </is>
      </c>
      <c r="D7" s="6" t="inlineStr">
        <is>
          <t>Builder</t>
        </is>
      </c>
    </row>
    <row r="8">
      <c r="B8" s="6" t="inlineStr">
        <is>
          <t>ASS-A-04</t>
        </is>
      </c>
      <c r="C8" s="6" t="inlineStr">
        <is>
          <t>Motor harness is built per upstream wiring guide with correct termination.</t>
        </is>
      </c>
      <c r="D8" s="6" t="inlineStr">
        <is>
          <t>Builder</t>
        </is>
      </c>
    </row>
    <row r="9">
      <c r="B9" s="6" t="inlineStr">
        <is>
          <t>ASS-A-05</t>
        </is>
      </c>
      <c r="C9" s="6" t="inlineStr">
        <is>
          <t>Operating surface is level, dry, clamped to a workbench.</t>
        </is>
      </c>
      <c r="D9" s="6" t="inlineStr">
        <is>
          <t>Operator</t>
        </is>
      </c>
    </row>
    <row r="10">
      <c r="B10" s="6" t="inlineStr">
        <is>
          <t>ASS-A-06</t>
        </is>
      </c>
      <c r="C10" s="6" t="inlineStr">
        <is>
          <t>No bystanders within the 650 mm reach envelope while M-04 RUN.</t>
        </is>
      </c>
      <c r="D10" s="6" t="inlineStr">
        <is>
          <t>Operator</t>
        </is>
      </c>
    </row>
    <row r="11">
      <c r="B11" s="6" t="inlineStr">
        <is>
          <t>ASS-A-07</t>
        </is>
      </c>
      <c r="C11" s="6" t="inlineStr">
        <is>
          <t>Robot is NOT a medical device and is NOT used for patient care or restraint.</t>
        </is>
      </c>
      <c r="D11" s="6" t="inlineStr">
        <is>
          <t>Project</t>
        </is>
      </c>
    </row>
    <row r="12">
      <c r="B12" s="6" t="inlineStr">
        <is>
          <t>ASS-A-08</t>
        </is>
      </c>
      <c r="C12" s="6" t="inlineStr">
        <is>
          <t>Wrist camera (when fitted) does not capture or transmit personal data outside local network without explicit operator action.</t>
        </is>
      </c>
      <c r="D12" s="6" t="inlineStr">
        <is>
          <t>Operator</t>
        </is>
      </c>
    </row>
    <row r="13">
      <c r="B13" s="6" t="inlineStr">
        <is>
          <t>OI-01</t>
        </is>
      </c>
      <c r="C13" s="6" t="inlineStr">
        <is>
          <t>ROS2 driver still in progress — public release expected ~2026.04.</t>
        </is>
      </c>
      <c r="D13" s="6" t="inlineStr">
        <is>
          <t>ROS team</t>
        </is>
      </c>
    </row>
    <row r="14">
      <c r="B14" s="6" t="inlineStr">
        <is>
          <t>OI-02</t>
        </is>
      </c>
      <c r="C14" s="6" t="inlineStr">
        <is>
          <t>Isaac Sim integration in progress — sim-to-real gap unmeasured.</t>
        </is>
      </c>
      <c r="D14" s="6" t="inlineStr">
        <is>
          <t>Sim team</t>
        </is>
      </c>
    </row>
    <row r="15">
      <c r="B15" s="6" t="inlineStr">
        <is>
          <t>OI-03</t>
        </is>
      </c>
      <c r="C15" s="6" t="inlineStr">
        <is>
          <t>B601-RS (Robstride) BOM and assembly still being released.</t>
        </is>
      </c>
      <c r="D15" s="6" t="inlineStr">
        <is>
          <t>Project</t>
        </is>
      </c>
    </row>
    <row r="16">
      <c r="B16" s="6" t="inlineStr">
        <is>
          <t>OI-04</t>
        </is>
      </c>
      <c r="C16" s="6" t="inlineStr">
        <is>
          <t>E-Stop topology mentioned (XIAO ESP32) but not fully specified in upstream docs.</t>
        </is>
      </c>
      <c r="D16" s="6" t="inlineStr">
        <is>
          <t>EE team</t>
        </is>
      </c>
    </row>
    <row r="17">
      <c r="B17" s="6" t="inlineStr">
        <is>
          <t>OI-05</t>
        </is>
      </c>
      <c r="C17" s="6" t="inlineStr">
        <is>
          <t>Damiao DM43xx / DM62xx motor MTTFD figures not published by supplier.</t>
        </is>
      </c>
      <c r="D17" s="6" t="inlineStr">
        <is>
          <t>Suppliers</t>
        </is>
      </c>
    </row>
    <row r="18">
      <c r="B18" s="6" t="inlineStr">
        <is>
          <t>OI-06</t>
        </is>
      </c>
      <c r="C18" s="6" t="inlineStr">
        <is>
          <t>LeRobot policy library — quality and safety vary per shared dataset / checkpoint.</t>
        </is>
      </c>
      <c r="D18" s="6" t="inlineStr">
        <is>
          <t>Robotics team</t>
        </is>
      </c>
    </row>
  </sheetData>
  <mergeCells count="1">
    <mergeCell ref="B2:D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2:D20"/>
  <sheetViews>
    <sheetView showGridLines="0" workbookViewId="0">
      <selection activeCell="A1" sqref="A1"/>
    </sheetView>
  </sheetViews>
  <sheetFormatPr baseColWidth="8" defaultRowHeight="15"/>
  <cols>
    <col width="4" customWidth="1" min="1" max="1"/>
    <col width="26" customWidth="1" min="2" max="2"/>
    <col width="80" customWidth="1" min="3" max="3"/>
  </cols>
  <sheetData>
    <row r="2">
      <c r="B2" s="4" t="inlineStr">
        <is>
          <t>References</t>
        </is>
      </c>
    </row>
    <row r="4">
      <c r="B4" s="15" t="inlineStr"/>
      <c r="C4" s="15" t="inlineStr">
        <is>
          <t>Reference</t>
        </is>
      </c>
      <c r="D4" s="15" t="inlineStr">
        <is>
          <t>Title</t>
        </is>
      </c>
    </row>
    <row r="5">
      <c r="B5" s="6" t="inlineStr">
        <is>
          <t>ISO 12100:2010</t>
        </is>
      </c>
      <c r="C5" s="6" t="inlineStr">
        <is>
          <t>Safety of machinery — General principles for design — Risk assessment and risk reduction</t>
        </is>
      </c>
    </row>
    <row r="6">
      <c r="B6" s="6" t="inlineStr">
        <is>
          <t>ISO 10218-1:2011</t>
        </is>
      </c>
      <c r="C6" s="6" t="inlineStr">
        <is>
          <t>Robots and robotic devices — Safety requirements for industrial robots — Part 1</t>
        </is>
      </c>
    </row>
    <row r="7">
      <c r="B7" s="6" t="inlineStr">
        <is>
          <t>ISO 10218-2:2011</t>
        </is>
      </c>
      <c r="C7" s="6" t="inlineStr">
        <is>
          <t>Safety requirements — Part 2: Robot system and integration</t>
        </is>
      </c>
    </row>
    <row r="8">
      <c r="B8" s="6" t="inlineStr">
        <is>
          <t>ISO/TS 15066:2016</t>
        </is>
      </c>
      <c r="C8" s="6" t="inlineStr">
        <is>
          <t>Robots and robotic devices — Collaborative robots</t>
        </is>
      </c>
    </row>
    <row r="9">
      <c r="B9" s="6" t="inlineStr">
        <is>
          <t>ISO 13849-1:2023</t>
        </is>
      </c>
      <c r="C9" s="6" t="inlineStr">
        <is>
          <t>Safety of machinery — Safety-related parts of control systems — Part 1</t>
        </is>
      </c>
    </row>
    <row r="10">
      <c r="B10" s="6" t="inlineStr">
        <is>
          <t>ISO 13849-2:2012</t>
        </is>
      </c>
      <c r="C10" s="6" t="inlineStr">
        <is>
          <t>Safety of machinery — Safety-related parts of control systems — Part 2: Validation</t>
        </is>
      </c>
    </row>
    <row r="11">
      <c r="B11" s="6" t="inlineStr">
        <is>
          <t>ISO 9001:2015</t>
        </is>
      </c>
      <c r="C11" s="6" t="inlineStr">
        <is>
          <t>Quality management systems</t>
        </is>
      </c>
    </row>
    <row r="12">
      <c r="B12" s="6" t="inlineStr">
        <is>
          <t>IEC 60204-1:2018</t>
        </is>
      </c>
      <c r="C12" s="6" t="inlineStr">
        <is>
          <t>Safety of machinery — Electrical equipment of machines</t>
        </is>
      </c>
    </row>
    <row r="13">
      <c r="B13" s="6" t="inlineStr">
        <is>
          <t>IEC 61000-6-2 / -6-3</t>
        </is>
      </c>
      <c r="C13" s="6" t="inlineStr">
        <is>
          <t>EMC immunity / emissions</t>
        </is>
      </c>
    </row>
    <row r="14">
      <c r="B14" s="6" t="inlineStr">
        <is>
          <t>ISO 9283:1998</t>
        </is>
      </c>
      <c r="C14" s="6" t="inlineStr">
        <is>
          <t>Manipulating industrial robots — Performance criteria</t>
        </is>
      </c>
    </row>
    <row r="15">
      <c r="B15" s="6" t="inlineStr">
        <is>
          <t>ISO 13854 / 13857</t>
        </is>
      </c>
      <c r="C15" s="6" t="inlineStr">
        <is>
          <t>Safety distances / minimum gaps</t>
        </is>
      </c>
    </row>
    <row r="16">
      <c r="B16" s="6" t="inlineStr">
        <is>
          <t>ISO/IEC/IEEE 29148:2018</t>
        </is>
      </c>
      <c r="C16" s="6" t="inlineStr">
        <is>
          <t>Requirements engineering</t>
        </is>
      </c>
    </row>
    <row r="17">
      <c r="B17" s="6" t="inlineStr">
        <is>
          <t>ISO/IEC/IEEE 42010:2022</t>
        </is>
      </c>
      <c r="C17" s="6" t="inlineStr">
        <is>
          <t>Architecture description</t>
        </is>
      </c>
    </row>
    <row r="18">
      <c r="B18" s="6" t="inlineStr">
        <is>
          <t>CC BY-NC-SA 4.0</t>
        </is>
      </c>
      <c r="C18" s="6" t="inlineStr">
        <is>
          <t>Creative Commons Attribution-NonCommercial-ShareAlike (upstream licence)</t>
        </is>
      </c>
    </row>
    <row r="19">
      <c r="B19" s="6" t="inlineStr">
        <is>
          <t>reBot-DevArm repo</t>
        </is>
      </c>
      <c r="C19" s="6" t="inlineStr">
        <is>
          <t>https://github.com/jherrodthomas/reBot-DevArm (fork of Seeed-Projects/reBot-DevArm)</t>
        </is>
      </c>
    </row>
    <row r="20">
      <c r="B20" s="6" t="inlineStr">
        <is>
          <t>Seeed Studio wiki</t>
        </is>
      </c>
      <c r="C20" s="6" t="inlineStr">
        <is>
          <t>https://wiki.seeedstudio.com/robotics_page/</t>
        </is>
      </c>
    </row>
  </sheetData>
  <mergeCells count="1">
    <mergeCell ref="B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2026-05-04T01:53:57Z</dcterms:created>
  <dcterms:modified xmlns:dcterms="http://purl.org/dc/terms/" xmlns:xsi="http://www.w3.org/2001/XMLSchema-instance" xsi:type="dcterms:W3CDTF">2026-05-04T01:53:57Z</dcterms:modified>
</cp:coreProperties>
</file>